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yca 3" sheetId="1" r:id="rId4"/>
    <sheet state="visible" name="Sheet1" sheetId="2" r:id="rId5"/>
    <sheet state="visible" name="MODELE" sheetId="3" r:id="rId6"/>
  </sheets>
  <definedNames>
    <definedName hidden="1" localSheetId="0" name="_xlnm._FilterDatabase">'Matryca 3'!$A$1:$K$82</definedName>
    <definedName hidden="1" localSheetId="2" name="_xlnm._FilterDatabase">MODELE!$J$2:$L$28</definedName>
  </definedNames>
  <calcPr/>
  <extLst>
    <ext uri="GoogleSheetsCustomDataVersion2">
      <go:sheetsCustomData xmlns:go="http://customooxmlschemas.google.com/" r:id="rId7" roundtripDataChecksum="L6waE19Fdook+4xWiRmy9v9IU6PixlwAS4bp1j7ilnQ="/>
    </ext>
  </extLst>
</workbook>
</file>

<file path=xl/sharedStrings.xml><?xml version="1.0" encoding="utf-8"?>
<sst xmlns="http://schemas.openxmlformats.org/spreadsheetml/2006/main" count="1919" uniqueCount="384">
  <si>
    <t>klient</t>
  </si>
  <si>
    <t>MODEL</t>
  </si>
  <si>
    <t>ZDJ składowej</t>
  </si>
  <si>
    <t>zdj opakowania</t>
  </si>
  <si>
    <t>Kod opakowania</t>
  </si>
  <si>
    <t>opakowanie</t>
  </si>
  <si>
    <t>Proces</t>
  </si>
  <si>
    <t>Sztaplowanie</t>
  </si>
  <si>
    <t>AM</t>
  </si>
  <si>
    <t>8797E</t>
  </si>
  <si>
    <t>#VALUE!</t>
  </si>
  <si>
    <t>8783-5000</t>
  </si>
  <si>
    <t xml:space="preserve">W1 - W2 </t>
  </si>
  <si>
    <t>C</t>
  </si>
  <si>
    <t>D</t>
  </si>
  <si>
    <t>AUDI</t>
  </si>
  <si>
    <t>8824E</t>
  </si>
  <si>
    <t>8824-5000</t>
  </si>
  <si>
    <t>W1 - W2</t>
  </si>
  <si>
    <t xml:space="preserve"> 8842E</t>
  </si>
  <si>
    <t xml:space="preserve"> 8846E</t>
  </si>
  <si>
    <t>BMW</t>
  </si>
  <si>
    <t>BS011F</t>
  </si>
  <si>
    <t>BMW OPAKOWANIE</t>
  </si>
  <si>
    <t xml:space="preserve"> CS004F</t>
  </si>
  <si>
    <t>BS011J</t>
  </si>
  <si>
    <t>8731M-5001</t>
  </si>
  <si>
    <t>BS010J</t>
  </si>
  <si>
    <t xml:space="preserve">8731M-5000 - sample z niebieskim paskiem </t>
  </si>
  <si>
    <t xml:space="preserve"> CS003J</t>
  </si>
  <si>
    <t>DAG</t>
  </si>
  <si>
    <t>1749U</t>
  </si>
  <si>
    <t>1736E-5000</t>
  </si>
  <si>
    <t>F</t>
  </si>
  <si>
    <t xml:space="preserve"> 1784U</t>
  </si>
  <si>
    <t xml:space="preserve"> 1785U</t>
  </si>
  <si>
    <t xml:space="preserve"> BS027J</t>
  </si>
  <si>
    <t>1749P</t>
  </si>
  <si>
    <t>OPAKOWANIE P</t>
  </si>
  <si>
    <t xml:space="preserve"> BS036P</t>
  </si>
  <si>
    <t>1785M</t>
  </si>
  <si>
    <t>1736M-5000</t>
  </si>
  <si>
    <t>JLR</t>
  </si>
  <si>
    <t>8776E</t>
  </si>
  <si>
    <t>1630-5000</t>
  </si>
  <si>
    <t xml:space="preserve"> 8777E</t>
  </si>
  <si>
    <t xml:space="preserve"> 1698E</t>
  </si>
  <si>
    <t xml:space="preserve"> 1644E</t>
  </si>
  <si>
    <t>1694E</t>
  </si>
  <si>
    <t>1690-5000</t>
  </si>
  <si>
    <t xml:space="preserve"> 1715E</t>
  </si>
  <si>
    <t xml:space="preserve"> 1695E</t>
  </si>
  <si>
    <t xml:space="preserve"> 1696E</t>
  </si>
  <si>
    <t>OPEL</t>
  </si>
  <si>
    <t>8669R</t>
  </si>
  <si>
    <t xml:space="preserve">zwrotne </t>
  </si>
  <si>
    <t>900G040</t>
  </si>
  <si>
    <t>POR/B</t>
  </si>
  <si>
    <t>BS047F</t>
  </si>
  <si>
    <t xml:space="preserve">Porsche Zwrotne </t>
  </si>
  <si>
    <t xml:space="preserve"> BS048F</t>
  </si>
  <si>
    <t>BS049Q</t>
  </si>
  <si>
    <t>8771Q-5000</t>
  </si>
  <si>
    <t>PSA</t>
  </si>
  <si>
    <t/>
  </si>
  <si>
    <t>0590013F0100</t>
  </si>
  <si>
    <t>Foliowanie</t>
  </si>
  <si>
    <t>RENO</t>
  </si>
  <si>
    <t>8458R</t>
  </si>
  <si>
    <t>2336-5000</t>
  </si>
  <si>
    <t xml:space="preserve"> 8458Q</t>
  </si>
  <si>
    <t xml:space="preserve"> 8467R</t>
  </si>
  <si>
    <t xml:space="preserve"> 8467Q</t>
  </si>
  <si>
    <t>8894U</t>
  </si>
  <si>
    <t>P2363U-5000</t>
  </si>
  <si>
    <t>BT003J</t>
  </si>
  <si>
    <t>8548-5000</t>
  </si>
  <si>
    <t xml:space="preserve"> BS029J</t>
  </si>
  <si>
    <t xml:space="preserve"> BS031J</t>
  </si>
  <si>
    <t>BS030J</t>
  </si>
  <si>
    <t>0590006FA000</t>
  </si>
  <si>
    <t xml:space="preserve"> BV010J</t>
  </si>
  <si>
    <t xml:space="preserve"> BV000J</t>
  </si>
  <si>
    <t>VOLVO</t>
  </si>
  <si>
    <t>8727E</t>
  </si>
  <si>
    <t>1632-5000</t>
  </si>
  <si>
    <t>8728</t>
  </si>
  <si>
    <t>brak opakowania - sample</t>
  </si>
  <si>
    <t xml:space="preserve"> 8848</t>
  </si>
  <si>
    <t xml:space="preserve"> 8716</t>
  </si>
  <si>
    <t xml:space="preserve"> 1648</t>
  </si>
  <si>
    <t>VW AG</t>
  </si>
  <si>
    <t>8417M</t>
  </si>
  <si>
    <t>1720-5000</t>
  </si>
  <si>
    <t xml:space="preserve"> 8421M</t>
  </si>
  <si>
    <t xml:space="preserve"> 8465U</t>
  </si>
  <si>
    <t>8418R</t>
  </si>
  <si>
    <t>VW R 425</t>
  </si>
  <si>
    <t>8675R-5000</t>
  </si>
  <si>
    <t xml:space="preserve"> 8712R</t>
  </si>
  <si>
    <t>8420Q</t>
  </si>
  <si>
    <t>VW Q 004</t>
  </si>
  <si>
    <t>Stelaż Q</t>
  </si>
  <si>
    <t xml:space="preserve"> 8466Q</t>
  </si>
  <si>
    <t>VW Q 002</t>
  </si>
  <si>
    <t>8712XP</t>
  </si>
  <si>
    <t>VW P 004</t>
  </si>
  <si>
    <t xml:space="preserve">Opakowanie P </t>
  </si>
  <si>
    <t>8712XE</t>
  </si>
  <si>
    <t>8712-5000</t>
  </si>
  <si>
    <t xml:space="preserve"> 8712U</t>
  </si>
  <si>
    <t>VW R 556</t>
  </si>
  <si>
    <t>VW R 683</t>
  </si>
  <si>
    <t>VW R 369</t>
  </si>
  <si>
    <t>Klient</t>
  </si>
  <si>
    <t>Product</t>
  </si>
  <si>
    <t>UWAGI</t>
  </si>
  <si>
    <t xml:space="preserve">długość </t>
  </si>
  <si>
    <t xml:space="preserve">szerokość </t>
  </si>
  <si>
    <t>wysokość rozłozone</t>
  </si>
  <si>
    <t>zdjęcie elementu</t>
  </si>
  <si>
    <t>zdjęcie gotowego stelaża</t>
  </si>
  <si>
    <t>Ilość stelaży szerokościowo</t>
  </si>
  <si>
    <t>ilośc stelaży długościowo</t>
  </si>
  <si>
    <t>ilość stelaży wysokościowo</t>
  </si>
  <si>
    <t>capacity alejka</t>
  </si>
  <si>
    <t>Dodatkowe uwagi</t>
  </si>
  <si>
    <t>Scieżka procesu 1 krok</t>
  </si>
  <si>
    <t>Scieżka procesu 2 krok</t>
  </si>
  <si>
    <t>Scieżka procesu 3 krok jeśli wymagany</t>
  </si>
  <si>
    <t>BMW R</t>
  </si>
  <si>
    <t>BMW STELAŻ</t>
  </si>
  <si>
    <t>3 m</t>
  </si>
  <si>
    <t>DAIMLER</t>
  </si>
  <si>
    <t>POJEMNIK</t>
  </si>
  <si>
    <t>6 m</t>
  </si>
  <si>
    <t xml:space="preserve">Rajka na opakowania </t>
  </si>
  <si>
    <t>PORSCHE</t>
  </si>
  <si>
    <t>PO1506</t>
  </si>
  <si>
    <t>PORSCHE R</t>
  </si>
  <si>
    <t>VW</t>
  </si>
  <si>
    <t>stelaż P</t>
  </si>
  <si>
    <t>stelaż Q</t>
  </si>
  <si>
    <t>stelaż R</t>
  </si>
  <si>
    <t>4 m wysokość 
3,9 m przyjęte do kalkulacji</t>
  </si>
  <si>
    <t>DAG E</t>
  </si>
  <si>
    <t>Opakowanie kartonowe E</t>
  </si>
  <si>
    <t>DAG M</t>
  </si>
  <si>
    <t>Opakowanie kartonowe M</t>
  </si>
  <si>
    <t>RNt</t>
  </si>
  <si>
    <t>Renault stelaż</t>
  </si>
  <si>
    <t xml:space="preserve">wymaga dostarczenia dodatkowego setu zestawów kartonowych z pkt g1 lub G2   dodatkowo stelaże mogą stać złożone w strefie buforowej, wówczas zajmą 35 cm a nie 100 wysokości </t>
  </si>
  <si>
    <t>Niss</t>
  </si>
  <si>
    <t>Nissan stelaż</t>
  </si>
  <si>
    <t xml:space="preserve">wymaga dostarczenia dodatkowego setu zestawów kartonowych z pkt g1 lub G2 
dodatkowo stelaże mogą stać złożone w strefie buforowej, wówczas zajmą 35 cm a nie 100 wysokości </t>
  </si>
  <si>
    <t>8466 8465 E/M</t>
  </si>
  <si>
    <t>WV E/M</t>
  </si>
  <si>
    <t>8712 E/M</t>
  </si>
  <si>
    <t>WV 8712 E/M</t>
  </si>
  <si>
    <t>Volvo</t>
  </si>
  <si>
    <t>Model E</t>
  </si>
  <si>
    <t>VOLVO E</t>
  </si>
  <si>
    <t>Wymagane wyznaczenie dodatkowego miejsca na palety</t>
  </si>
  <si>
    <t>Model S</t>
  </si>
  <si>
    <t>VOLVO S</t>
  </si>
  <si>
    <t>JAGUAR</t>
  </si>
  <si>
    <t>JRL E</t>
  </si>
  <si>
    <t>JRL S</t>
  </si>
  <si>
    <t>8824, 8846 E/M</t>
  </si>
  <si>
    <t>AUDI E/M</t>
  </si>
  <si>
    <t>ASTON MARTIN</t>
  </si>
  <si>
    <t>AM E</t>
  </si>
  <si>
    <t>Model J</t>
  </si>
  <si>
    <t>AM J</t>
  </si>
  <si>
    <t>RENAULT / NISSAN</t>
  </si>
  <si>
    <t>Model 8458/8467 U</t>
  </si>
  <si>
    <t>RNT U</t>
  </si>
  <si>
    <t>Model 8458E/8467E/BT003J /BS029J / BS030J / BS031J</t>
  </si>
  <si>
    <t>RNT E/J</t>
  </si>
  <si>
    <t>PEUGEOT</t>
  </si>
  <si>
    <t>PSA J</t>
  </si>
  <si>
    <t>BS011 / BS012 / CS004</t>
  </si>
  <si>
    <t>BMW C</t>
  </si>
  <si>
    <t>1736E-5000 ( MODEL U)</t>
  </si>
  <si>
    <t>DAG U</t>
  </si>
  <si>
    <t>1785M-5000F</t>
  </si>
  <si>
    <t>DAG 1785</t>
  </si>
  <si>
    <t>8835E-5000F</t>
  </si>
  <si>
    <t>DAG 8835</t>
  </si>
  <si>
    <t>REFERENCE</t>
  </si>
  <si>
    <t>DESCRIPTION</t>
  </si>
  <si>
    <t>CUSTOMER</t>
  </si>
  <si>
    <t>następny proces</t>
  </si>
  <si>
    <t>PRODUKT</t>
  </si>
  <si>
    <t>KLIENT</t>
  </si>
  <si>
    <t>OPIS PRODUKTU</t>
  </si>
  <si>
    <t>P.PRODUKT</t>
  </si>
  <si>
    <t>MAKER_LAYOUT</t>
  </si>
  <si>
    <t>OPIS P.PRODUKTU</t>
  </si>
  <si>
    <t>ILOSC WYMAGANA</t>
  </si>
  <si>
    <t>TYP</t>
  </si>
  <si>
    <t>GRUPA</t>
  </si>
  <si>
    <t>PXE16 110PV6 12V ECL LVDA OEM</t>
  </si>
  <si>
    <t xml:space="preserve">spinanie </t>
  </si>
  <si>
    <t xml:space="preserve">Bufforowanie </t>
  </si>
  <si>
    <t>sprzedaż</t>
  </si>
  <si>
    <t>1644E</t>
  </si>
  <si>
    <t>PXE16 110PV6 12V EFBEM</t>
  </si>
  <si>
    <t>Packaging Set 1630</t>
  </si>
  <si>
    <t>COMP.PACKAG</t>
  </si>
  <si>
    <t>PACKAGING</t>
  </si>
  <si>
    <t>NO USE PXE16</t>
  </si>
  <si>
    <t>spinanie</t>
  </si>
  <si>
    <t>1654E</t>
  </si>
  <si>
    <t>PXC16 130PV6 12V PR8 LVDA OEM</t>
  </si>
  <si>
    <t>1651-5000</t>
  </si>
  <si>
    <t>Packaging Set 1651</t>
  </si>
  <si>
    <t>1684</t>
  </si>
  <si>
    <t>FORD</t>
  </si>
  <si>
    <t>PXC16 110PV6 12V EBC LVDA OEM</t>
  </si>
  <si>
    <t>Packaging Set 1690</t>
  </si>
  <si>
    <t>8421M</t>
  </si>
  <si>
    <t>1684E</t>
  </si>
  <si>
    <t>PXC16 110PV6 12V FC DM OEM</t>
  </si>
  <si>
    <t>1686E</t>
  </si>
  <si>
    <t>PXC16 130PV6 12V PRB LVDA OEM</t>
  </si>
  <si>
    <t xml:space="preserve">FOLIOWANIE </t>
  </si>
  <si>
    <t>SPINANIE</t>
  </si>
  <si>
    <t>PXC16 110PV6 12V EBD LVDA OEM</t>
  </si>
  <si>
    <t>8848</t>
  </si>
  <si>
    <t>PXC14 110PV6 12V FC DM OEM</t>
  </si>
  <si>
    <t>1695E</t>
  </si>
  <si>
    <t>8716</t>
  </si>
  <si>
    <t>PXC14 120PV6 12V ECC LVDA OEM</t>
  </si>
  <si>
    <t>1696E</t>
  </si>
  <si>
    <t>1648</t>
  </si>
  <si>
    <t>PXC16 110PV6 12V EFD DM</t>
  </si>
  <si>
    <t>1698E</t>
  </si>
  <si>
    <t>MCL</t>
  </si>
  <si>
    <t>PXE16</t>
  </si>
  <si>
    <t>PXC16 110PV6 12V EFE LVDA OEM</t>
  </si>
  <si>
    <t>1715E</t>
  </si>
  <si>
    <t>PXE16 110PV6 12V VEB LVDA OEM</t>
  </si>
  <si>
    <t>8777E</t>
  </si>
  <si>
    <t>1718E</t>
  </si>
  <si>
    <t>PXC14CF1749UF</t>
  </si>
  <si>
    <t>Packaging Complete 1736</t>
  </si>
  <si>
    <t>PXC16FK8797</t>
  </si>
  <si>
    <t>1752GE</t>
  </si>
  <si>
    <t>PXV16 110PV6 12V SA DM OEM</t>
  </si>
  <si>
    <t>1752-5000</t>
  </si>
  <si>
    <t>Packaging Set 1752</t>
  </si>
  <si>
    <t>8725</t>
  </si>
  <si>
    <t>PXC16 110PV3 12V PRA VDA OEM</t>
  </si>
  <si>
    <t>zwrotne bentley</t>
  </si>
  <si>
    <t>1754E</t>
  </si>
  <si>
    <t>NO USE PXV16 110PV6 12V SA DM</t>
  </si>
  <si>
    <t>1650-5000</t>
  </si>
  <si>
    <t>Packaging Set 1650</t>
  </si>
  <si>
    <t>1753</t>
  </si>
  <si>
    <t>0590006F0100</t>
  </si>
  <si>
    <t>1784U</t>
  </si>
  <si>
    <t>PXC14CF1784UF</t>
  </si>
  <si>
    <t>Spinanie</t>
  </si>
  <si>
    <t>PXC14CE1785MF</t>
  </si>
  <si>
    <t>1785U</t>
  </si>
  <si>
    <t>PXC14CE1785UF</t>
  </si>
  <si>
    <t>8417E</t>
  </si>
  <si>
    <t>Packaging Set 1720</t>
  </si>
  <si>
    <t>8417R</t>
  </si>
  <si>
    <t>Returnable Packaging Set VW</t>
  </si>
  <si>
    <t>COMP.RET.PAC</t>
  </si>
  <si>
    <t>8418E</t>
  </si>
  <si>
    <t>PXC16 110PV7 12V EBH LVDA OEM</t>
  </si>
  <si>
    <t>8418M</t>
  </si>
  <si>
    <t>zwrotne  r</t>
  </si>
  <si>
    <t>CS004F</t>
  </si>
  <si>
    <t>PXE16 100PV6 12V EBH LVDA OEM</t>
  </si>
  <si>
    <t>8418U</t>
  </si>
  <si>
    <t>PXC16FF</t>
  </si>
  <si>
    <t>8420E</t>
  </si>
  <si>
    <t>CS003J</t>
  </si>
  <si>
    <t>PXE16FF</t>
  </si>
  <si>
    <t>8420M</t>
  </si>
  <si>
    <t>8421E</t>
  </si>
  <si>
    <t>PXC14CF1749PF</t>
  </si>
  <si>
    <t>8422E</t>
  </si>
  <si>
    <t>PXE14 110PV6 12V ECL LVDA OEM</t>
  </si>
  <si>
    <t>8422M</t>
  </si>
  <si>
    <t>8422R</t>
  </si>
  <si>
    <t>BS036P</t>
  </si>
  <si>
    <t>PXC14 125PB-BS036ADA OEM</t>
  </si>
  <si>
    <t>Opakowanie P</t>
  </si>
  <si>
    <t>8422U</t>
  </si>
  <si>
    <t>NO USE PXE14 110PV6 12V ECL LV</t>
  </si>
  <si>
    <t>BS027J</t>
  </si>
  <si>
    <t>PXC16EB</t>
  </si>
  <si>
    <t>8458E</t>
  </si>
  <si>
    <t>PXC14 115PV6 12V EEN DM OEM</t>
  </si>
  <si>
    <t>Packaging Set 8548</t>
  </si>
  <si>
    <t>PXC16</t>
  </si>
  <si>
    <t>8458Q</t>
  </si>
  <si>
    <t>Returnable Packaging Inserts</t>
  </si>
  <si>
    <t>BS048F</t>
  </si>
  <si>
    <t>8458U</t>
  </si>
  <si>
    <t>8712R</t>
  </si>
  <si>
    <t>PXC14 110PV6 12V ECW LVDA OEM</t>
  </si>
  <si>
    <t>8465E</t>
  </si>
  <si>
    <t>8465M</t>
  </si>
  <si>
    <t>8465R</t>
  </si>
  <si>
    <t>8712U</t>
  </si>
  <si>
    <t>8465U</t>
  </si>
  <si>
    <t>8466E</t>
  </si>
  <si>
    <t>8466Q</t>
  </si>
  <si>
    <t>8466M</t>
  </si>
  <si>
    <t>PXC14 125PV4 12V CQ LVDA OEM</t>
  </si>
  <si>
    <t>8466R</t>
  </si>
  <si>
    <t>8842E</t>
  </si>
  <si>
    <t>PXC14 110PV4 12V CQL VDA OEM</t>
  </si>
  <si>
    <t>8466U</t>
  </si>
  <si>
    <t>8846E</t>
  </si>
  <si>
    <t>PXC14 125PV6 12V CQ LVDA OEM</t>
  </si>
  <si>
    <t>8467E</t>
  </si>
  <si>
    <t>PXC14 115PV7 12V EEN DM OEM</t>
  </si>
  <si>
    <t>PXC14 110PV5 12V ECD SVDA OEM</t>
  </si>
  <si>
    <t>8467Q</t>
  </si>
  <si>
    <t>8467R</t>
  </si>
  <si>
    <t>8467U</t>
  </si>
  <si>
    <t>Returnable Packaging Set GM</t>
  </si>
  <si>
    <t>8670R</t>
  </si>
  <si>
    <t>PXC14 110PV6 12V ECD LVDA OEM</t>
  </si>
  <si>
    <t>8671R</t>
  </si>
  <si>
    <t>PXC14 110PV6 12V ECD SVDA OEM</t>
  </si>
  <si>
    <t>BS029J</t>
  </si>
  <si>
    <t>PXC14</t>
  </si>
  <si>
    <t>8672R</t>
  </si>
  <si>
    <t>PXC14 110PV5 12V ECD LVDA OEM</t>
  </si>
  <si>
    <t>8712E</t>
  </si>
  <si>
    <t>Packaging Set 8712</t>
  </si>
  <si>
    <t>BS031J</t>
  </si>
  <si>
    <t>8712M</t>
  </si>
  <si>
    <t>BV010J</t>
  </si>
  <si>
    <t>PXC14 110PV6 12V DM OEM</t>
  </si>
  <si>
    <t>BV011J</t>
  </si>
  <si>
    <t>BV000J</t>
  </si>
  <si>
    <t>PXC14 110PV6 12V XXX DM OEM</t>
  </si>
  <si>
    <t>8724E</t>
  </si>
  <si>
    <t>PXC16 110PV3 12V PRA LVDA OEM</t>
  </si>
  <si>
    <t>8726E</t>
  </si>
  <si>
    <t>Packaging Set 1632</t>
  </si>
  <si>
    <t>Packaging Set 8783</t>
  </si>
  <si>
    <t>NO USE PACKAGING SET 8824</t>
  </si>
  <si>
    <t>8824-5000-IPS</t>
  </si>
  <si>
    <t>NO USE INTERIM PACKAGING SEPAR</t>
  </si>
  <si>
    <t>8846-5000</t>
  </si>
  <si>
    <t>PACKAGING SET 8824-8846</t>
  </si>
  <si>
    <t>8824M</t>
  </si>
  <si>
    <t>8825E</t>
  </si>
  <si>
    <t>PXC14 110PV6 12V CQ LVDA OEM</t>
  </si>
  <si>
    <t>8825-5000</t>
  </si>
  <si>
    <t>PACKAGING SET 8825-8826-8842</t>
  </si>
  <si>
    <t>8825M</t>
  </si>
  <si>
    <t>8826E</t>
  </si>
  <si>
    <t>PXC14 110 PV612V CQ LVDA OEM</t>
  </si>
  <si>
    <t>8826M</t>
  </si>
  <si>
    <t>8842M</t>
  </si>
  <si>
    <t>8846M</t>
  </si>
  <si>
    <t>8847E</t>
  </si>
  <si>
    <t>Packaging Set 8894</t>
  </si>
  <si>
    <t>8731M-5000</t>
  </si>
  <si>
    <t>Packaging Set 8731</t>
  </si>
  <si>
    <t>BS016Q</t>
  </si>
  <si>
    <t>Packaging Set Porsche</t>
  </si>
  <si>
    <t>BS017Q</t>
  </si>
  <si>
    <t>BS028J</t>
  </si>
  <si>
    <t>Packaging Set BV000A</t>
  </si>
  <si>
    <t>BS036A</t>
  </si>
  <si>
    <t>BS048Q</t>
  </si>
  <si>
    <t>CS004J</t>
  </si>
  <si>
    <t>PXC16 100PV6 12V EBH LVDA OEM</t>
  </si>
  <si>
    <t>1790-5000</t>
  </si>
  <si>
    <t>NO USE Kit Packaging 1792-5000</t>
  </si>
  <si>
    <t>SAM-BS036</t>
  </si>
  <si>
    <t>SAM-BV010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</si>
</sst>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b/>
      <sz val="11.0"/>
      <color theme="0"/>
      <name val="Aptos Narrow"/>
    </font>
    <font>
      <sz val="11.0"/>
      <color theme="1"/>
      <name val="Aptos Narrow"/>
    </font>
    <font>
      <sz val="11.0"/>
      <color theme="1"/>
      <name val="Arial"/>
    </font>
    <font>
      <sz val="11.0"/>
      <color rgb="FF000000"/>
      <name val="Arial"/>
    </font>
    <font>
      <sz val="10.0"/>
      <color rgb="FF000000"/>
      <name val="Arial"/>
    </font>
    <font>
      <sz val="11.0"/>
      <color rgb="FF000000"/>
      <name val="Calibri"/>
    </font>
    <font>
      <color theme="1"/>
      <name val="Aptos Narrow"/>
      <scheme val="minor"/>
    </font>
    <font/>
    <font>
      <sz val="10.0"/>
      <color theme="1"/>
      <name val="Aptos Narrow"/>
    </font>
    <font>
      <b/>
      <sz val="11.0"/>
      <color theme="0"/>
      <name val="Arial"/>
    </font>
  </fonts>
  <fills count="7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D9F2D0"/>
        <bgColor rgb="FFD9F2D0"/>
      </patternFill>
    </fill>
    <fill>
      <patternFill patternType="solid">
        <fgColor rgb="FF00B0F0"/>
        <bgColor rgb="FF00B0F0"/>
      </patternFill>
    </fill>
    <fill>
      <patternFill patternType="solid">
        <fgColor theme="6"/>
        <bgColor theme="6"/>
      </patternFill>
    </fill>
    <fill>
      <patternFill patternType="solid">
        <fgColor rgb="FFC1F0C8"/>
        <bgColor rgb="FFC1F0C8"/>
      </patternFill>
    </fill>
  </fills>
  <borders count="30">
    <border/>
    <border>
      <left style="thin">
        <color rgb="FF8ED873"/>
      </left>
      <right/>
      <top style="thin">
        <color rgb="FF8ED873"/>
      </top>
      <bottom/>
    </border>
    <border>
      <left/>
      <right/>
      <top style="thin">
        <color rgb="FF8ED873"/>
      </top>
      <bottom/>
    </border>
    <border>
      <left/>
      <right style="thin">
        <color rgb="FF8ED873"/>
      </right>
      <top style="thin">
        <color rgb="FF8ED873"/>
      </top>
      <bottom/>
    </border>
    <border>
      <left/>
      <right/>
      <top/>
      <bottom/>
    </border>
    <border>
      <left style="thin">
        <color rgb="FF8ED873"/>
      </left>
      <top style="thin">
        <color rgb="FF8ED873"/>
      </top>
    </border>
    <border>
      <top style="thin">
        <color rgb="FF8ED873"/>
      </top>
    </border>
    <border>
      <right style="thin">
        <color rgb="FF8ED873"/>
      </right>
      <top style="thin">
        <color rgb="FF8ED873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47D45A"/>
      </bottom>
    </border>
    <border>
      <left/>
      <right/>
      <top style="thin">
        <color rgb="FF47D45A"/>
      </top>
      <bottom style="thin">
        <color rgb="FF47D45A"/>
      </bottom>
    </border>
    <border>
      <top style="thin">
        <color rgb="FF47D45A"/>
      </top>
      <bottom style="thin">
        <color rgb="FF47D45A"/>
      </bottom>
    </border>
    <border>
      <top style="thin">
        <color rgb="FF47D45A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4" fillId="2" fontId="1" numFmtId="0" xfId="0" applyBorder="1" applyFont="1"/>
    <xf borderId="1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ont="1">
      <alignment horizontal="center" vertical="center"/>
    </xf>
    <xf borderId="3" fillId="3" fontId="2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center" readingOrder="0" vertical="center"/>
    </xf>
    <xf borderId="2" fillId="3" fontId="2" numFmtId="0" xfId="0" applyBorder="1" applyFont="1"/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readingOrder="0" vertical="center"/>
    </xf>
    <xf borderId="6" fillId="0" fontId="2" numFmtId="0" xfId="0" applyBorder="1" applyFont="1"/>
    <xf borderId="0" fillId="0" fontId="2" numFmtId="0" xfId="0" applyAlignment="1" applyFont="1">
      <alignment horizontal="center" vertical="center"/>
    </xf>
    <xf borderId="8" fillId="4" fontId="4" numFmtId="0" xfId="0" applyAlignment="1" applyBorder="1" applyFill="1" applyFont="1">
      <alignment horizontal="center" shrinkToFit="0" vertical="center" wrapText="1"/>
    </xf>
    <xf borderId="9" fillId="4" fontId="4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10" fillId="0" fontId="4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0" fillId="0" fontId="7" numFmtId="0" xfId="0" applyFont="1"/>
    <xf borderId="10" fillId="0" fontId="2" numFmtId="0" xfId="0" applyBorder="1" applyFont="1"/>
    <xf borderId="11" fillId="0" fontId="2" numFmtId="0" xfId="0" applyAlignment="1" applyBorder="1" applyFont="1">
      <alignment horizontal="center" vertical="center"/>
    </xf>
    <xf borderId="12" fillId="0" fontId="8" numFmtId="0" xfId="0" applyBorder="1" applyFont="1"/>
    <xf borderId="13" fillId="0" fontId="8" numFmtId="0" xfId="0" applyBorder="1" applyFont="1"/>
    <xf borderId="14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16" fillId="0" fontId="8" numFmtId="0" xfId="0" applyBorder="1" applyFont="1"/>
    <xf borderId="17" fillId="0" fontId="8" numFmtId="0" xfId="0" applyBorder="1" applyFont="1"/>
    <xf borderId="18" fillId="0" fontId="2" numFmtId="0" xfId="0" applyAlignment="1" applyBorder="1" applyFont="1">
      <alignment horizontal="center" vertical="center"/>
    </xf>
    <xf borderId="10" fillId="0" fontId="9" numFmtId="0" xfId="0" applyAlignment="1" applyBorder="1" applyFont="1">
      <alignment horizontal="center" vertical="center"/>
    </xf>
    <xf borderId="19" fillId="0" fontId="8" numFmtId="0" xfId="0" applyBorder="1" applyFont="1"/>
    <xf borderId="20" fillId="0" fontId="8" numFmtId="0" xfId="0" applyBorder="1" applyFont="1"/>
    <xf borderId="18" fillId="0" fontId="8" numFmtId="0" xfId="0" applyBorder="1" applyFont="1"/>
    <xf borderId="21" fillId="0" fontId="2" numFmtId="0" xfId="0" applyAlignment="1" applyBorder="1" applyFont="1">
      <alignment horizontal="center" vertical="center"/>
    </xf>
    <xf borderId="22" fillId="0" fontId="8" numFmtId="0" xfId="0" applyBorder="1" applyFont="1"/>
    <xf borderId="23" fillId="0" fontId="8" numFmtId="0" xfId="0" applyBorder="1" applyFont="1"/>
    <xf borderId="24" fillId="0" fontId="8" numFmtId="0" xfId="0" applyBorder="1" applyFont="1"/>
    <xf borderId="25" fillId="0" fontId="8" numFmtId="0" xfId="0" applyBorder="1" applyFont="1"/>
    <xf borderId="11" fillId="0" fontId="2" numFmtId="0" xfId="0" applyAlignment="1" applyBorder="1" applyFont="1">
      <alignment horizontal="center" shrinkToFit="0" vertical="center" wrapText="1"/>
    </xf>
    <xf borderId="26" fillId="5" fontId="10" numFmtId="0" xfId="0" applyBorder="1" applyFill="1" applyFont="1"/>
    <xf borderId="4" fillId="5" fontId="10" numFmtId="0" xfId="0" applyBorder="1" applyFont="1"/>
    <xf borderId="27" fillId="6" fontId="3" numFmtId="0" xfId="0" applyBorder="1" applyFill="1" applyFont="1"/>
    <xf borderId="28" fillId="0" fontId="3" numFmtId="0" xfId="0" applyBorder="1" applyFont="1"/>
    <xf borderId="28" fillId="0" fontId="3" numFmtId="0" xfId="0" applyAlignment="1" applyBorder="1" applyFont="1">
      <alignment horizontal="left"/>
    </xf>
    <xf borderId="27" fillId="6" fontId="3" numFmtId="0" xfId="0" applyAlignment="1" applyBorder="1" applyFont="1">
      <alignment horizontal="left"/>
    </xf>
    <xf borderId="29" fillId="0" fontId="3" numFmtId="0" xfId="0" applyAlignment="1" applyBorder="1" applyFont="1">
      <alignment horizontal="left"/>
    </xf>
    <xf borderId="29" fillId="0" fontId="3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8ED873"/>
          <bgColor rgb="FF8ED87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27.25"/>
    <col customWidth="1" min="3" max="3" width="32.5"/>
    <col customWidth="1" min="4" max="4" width="21.0"/>
    <col customWidth="1" min="5" max="5" width="15.63"/>
    <col customWidth="1" min="6" max="6" width="40.25"/>
    <col customWidth="1" min="7" max="7" width="10.75"/>
    <col customWidth="1" min="8" max="10" width="10.25"/>
    <col customWidth="1" min="11" max="11" width="12.88"/>
    <col customWidth="1" min="12" max="26" width="8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6</v>
      </c>
      <c r="I1" s="2" t="s">
        <v>6</v>
      </c>
      <c r="J1" s="2" t="s">
        <v>6</v>
      </c>
      <c r="K1" s="4" t="s">
        <v>7</v>
      </c>
    </row>
    <row r="2" ht="63.75" customHeight="1">
      <c r="A2" s="5" t="s">
        <v>8</v>
      </c>
      <c r="B2" s="6" t="s">
        <v>9</v>
      </c>
      <c r="C2" s="6"/>
      <c r="D2" s="7" t="s">
        <v>10</v>
      </c>
      <c r="E2" s="6"/>
      <c r="F2" s="8" t="s">
        <v>11</v>
      </c>
      <c r="G2" s="6" t="s">
        <v>12</v>
      </c>
      <c r="H2" s="6" t="s">
        <v>13</v>
      </c>
      <c r="I2" s="6" t="s">
        <v>14</v>
      </c>
      <c r="J2" s="6"/>
      <c r="K2" s="9"/>
    </row>
    <row r="3" ht="63.75" customHeight="1">
      <c r="A3" s="10" t="s">
        <v>15</v>
      </c>
      <c r="B3" s="11" t="s">
        <v>16</v>
      </c>
      <c r="C3" s="11" t="s">
        <v>10</v>
      </c>
      <c r="D3" s="12" t="s">
        <v>10</v>
      </c>
      <c r="E3" s="11"/>
      <c r="F3" s="13" t="s">
        <v>17</v>
      </c>
      <c r="G3" s="11" t="s">
        <v>18</v>
      </c>
      <c r="H3" s="11" t="s">
        <v>13</v>
      </c>
      <c r="I3" s="11" t="s">
        <v>14</v>
      </c>
      <c r="J3" s="11"/>
      <c r="K3" s="14"/>
    </row>
    <row r="4" ht="63.75" customHeight="1">
      <c r="A4" s="5" t="s">
        <v>15</v>
      </c>
      <c r="B4" s="6" t="s">
        <v>19</v>
      </c>
      <c r="C4" s="6" t="s">
        <v>10</v>
      </c>
      <c r="D4" s="7" t="s">
        <v>10</v>
      </c>
      <c r="E4" s="6"/>
      <c r="F4" s="8" t="s">
        <v>17</v>
      </c>
      <c r="G4" s="6" t="s">
        <v>18</v>
      </c>
      <c r="H4" s="6" t="s">
        <v>13</v>
      </c>
      <c r="I4" s="6" t="s">
        <v>14</v>
      </c>
      <c r="J4" s="6"/>
      <c r="K4" s="9"/>
    </row>
    <row r="5" ht="63.75" customHeight="1">
      <c r="A5" s="10" t="s">
        <v>15</v>
      </c>
      <c r="B5" s="11" t="s">
        <v>20</v>
      </c>
      <c r="C5" s="11" t="s">
        <v>10</v>
      </c>
      <c r="D5" s="12" t="s">
        <v>10</v>
      </c>
      <c r="E5" s="11"/>
      <c r="F5" s="11" t="s">
        <v>17</v>
      </c>
      <c r="G5" s="11" t="s">
        <v>18</v>
      </c>
      <c r="H5" s="11" t="s">
        <v>13</v>
      </c>
      <c r="I5" s="11" t="s">
        <v>14</v>
      </c>
      <c r="J5" s="11"/>
      <c r="K5" s="14"/>
    </row>
    <row r="6" ht="63.75" customHeight="1">
      <c r="A6" s="5" t="s">
        <v>21</v>
      </c>
      <c r="B6" s="6" t="s">
        <v>22</v>
      </c>
      <c r="C6" s="6"/>
      <c r="D6" s="7" t="s">
        <v>10</v>
      </c>
      <c r="E6" s="6"/>
      <c r="F6" s="6" t="s">
        <v>23</v>
      </c>
      <c r="G6" s="6" t="s">
        <v>18</v>
      </c>
      <c r="H6" s="6" t="s">
        <v>13</v>
      </c>
      <c r="I6" s="6" t="s">
        <v>14</v>
      </c>
      <c r="J6" s="6"/>
      <c r="K6" s="9"/>
    </row>
    <row r="7" ht="63.75" customHeight="1">
      <c r="A7" s="10" t="s">
        <v>21</v>
      </c>
      <c r="B7" s="11" t="s">
        <v>24</v>
      </c>
      <c r="C7" s="11"/>
      <c r="D7" s="12" t="s">
        <v>10</v>
      </c>
      <c r="E7" s="11"/>
      <c r="F7" s="11" t="s">
        <v>23</v>
      </c>
      <c r="G7" s="11" t="s">
        <v>18</v>
      </c>
      <c r="H7" s="11" t="s">
        <v>13</v>
      </c>
      <c r="I7" s="11" t="s">
        <v>14</v>
      </c>
      <c r="J7" s="11"/>
      <c r="K7" s="14"/>
    </row>
    <row r="8" ht="63.75" customHeight="1">
      <c r="A8" s="5" t="s">
        <v>21</v>
      </c>
      <c r="B8" s="6" t="s">
        <v>25</v>
      </c>
      <c r="C8" s="6"/>
      <c r="D8" s="7" t="s">
        <v>10</v>
      </c>
      <c r="E8" s="6"/>
      <c r="F8" s="6" t="s">
        <v>26</v>
      </c>
      <c r="G8" s="6" t="s">
        <v>12</v>
      </c>
      <c r="H8" s="6" t="s">
        <v>13</v>
      </c>
      <c r="I8" s="6" t="s">
        <v>14</v>
      </c>
      <c r="J8" s="6"/>
      <c r="K8" s="9"/>
    </row>
    <row r="9" ht="63.75" customHeight="1">
      <c r="A9" s="10" t="s">
        <v>21</v>
      </c>
      <c r="B9" s="11" t="s">
        <v>27</v>
      </c>
      <c r="C9" s="11"/>
      <c r="D9" s="12" t="s">
        <v>10</v>
      </c>
      <c r="E9" s="11"/>
      <c r="F9" s="11" t="s">
        <v>28</v>
      </c>
      <c r="G9" s="11" t="s">
        <v>13</v>
      </c>
      <c r="H9" s="11" t="s">
        <v>14</v>
      </c>
      <c r="I9" s="11"/>
      <c r="J9" s="11"/>
      <c r="K9" s="14"/>
    </row>
    <row r="10" ht="63.75" customHeight="1">
      <c r="A10" s="5" t="s">
        <v>21</v>
      </c>
      <c r="B10" s="6" t="s">
        <v>29</v>
      </c>
      <c r="C10" s="6"/>
      <c r="D10" s="7" t="s">
        <v>10</v>
      </c>
      <c r="E10" s="6"/>
      <c r="F10" s="6" t="s">
        <v>28</v>
      </c>
      <c r="G10" s="6" t="s">
        <v>13</v>
      </c>
      <c r="H10" s="6" t="s">
        <v>14</v>
      </c>
      <c r="I10" s="6"/>
      <c r="J10" s="6"/>
      <c r="K10" s="9"/>
    </row>
    <row r="11" ht="63.75" customHeight="1">
      <c r="A11" s="10" t="s">
        <v>30</v>
      </c>
      <c r="B11" s="11" t="s">
        <v>31</v>
      </c>
      <c r="C11" s="11"/>
      <c r="D11" s="12" t="s">
        <v>10</v>
      </c>
      <c r="E11" s="11"/>
      <c r="F11" s="11" t="s">
        <v>32</v>
      </c>
      <c r="G11" s="11" t="s">
        <v>33</v>
      </c>
      <c r="H11" s="11" t="s">
        <v>18</v>
      </c>
      <c r="I11" s="11" t="s">
        <v>13</v>
      </c>
      <c r="J11" s="11" t="s">
        <v>14</v>
      </c>
      <c r="K11" s="14"/>
    </row>
    <row r="12" ht="63.75" customHeight="1">
      <c r="A12" s="5" t="s">
        <v>30</v>
      </c>
      <c r="B12" s="6" t="s">
        <v>34</v>
      </c>
      <c r="C12" s="6"/>
      <c r="D12" s="7" t="s">
        <v>10</v>
      </c>
      <c r="E12" s="6"/>
      <c r="F12" s="6" t="s">
        <v>32</v>
      </c>
      <c r="G12" s="6" t="s">
        <v>33</v>
      </c>
      <c r="H12" s="6" t="s">
        <v>18</v>
      </c>
      <c r="I12" s="6" t="s">
        <v>13</v>
      </c>
      <c r="J12" s="6" t="s">
        <v>14</v>
      </c>
      <c r="K12" s="9"/>
    </row>
    <row r="13" ht="63.75" customHeight="1">
      <c r="A13" s="10" t="s">
        <v>30</v>
      </c>
      <c r="B13" s="11" t="s">
        <v>35</v>
      </c>
      <c r="C13" s="11"/>
      <c r="D13" s="12" t="s">
        <v>10</v>
      </c>
      <c r="E13" s="11"/>
      <c r="F13" s="11" t="s">
        <v>32</v>
      </c>
      <c r="G13" s="11" t="s">
        <v>33</v>
      </c>
      <c r="H13" s="11" t="s">
        <v>18</v>
      </c>
      <c r="I13" s="11" t="s">
        <v>13</v>
      </c>
      <c r="J13" s="11" t="s">
        <v>14</v>
      </c>
      <c r="K13" s="14"/>
    </row>
    <row r="14" ht="63.75" customHeight="1">
      <c r="A14" s="5" t="s">
        <v>30</v>
      </c>
      <c r="B14" s="6" t="s">
        <v>36</v>
      </c>
      <c r="C14" s="6"/>
      <c r="D14" s="7" t="s">
        <v>10</v>
      </c>
      <c r="E14" s="6"/>
      <c r="F14" s="6" t="s">
        <v>32</v>
      </c>
      <c r="G14" s="6" t="s">
        <v>33</v>
      </c>
      <c r="H14" s="6" t="s">
        <v>18</v>
      </c>
      <c r="I14" s="6" t="s">
        <v>13</v>
      </c>
      <c r="J14" s="6" t="s">
        <v>14</v>
      </c>
      <c r="K14" s="9"/>
    </row>
    <row r="15" ht="63.75" customHeight="1">
      <c r="A15" s="10" t="s">
        <v>30</v>
      </c>
      <c r="B15" s="11" t="s">
        <v>37</v>
      </c>
      <c r="C15" s="11"/>
      <c r="D15" s="12" t="s">
        <v>10</v>
      </c>
      <c r="E15" s="11"/>
      <c r="F15" s="11" t="s">
        <v>38</v>
      </c>
      <c r="G15" s="11" t="s">
        <v>18</v>
      </c>
      <c r="H15" s="11" t="s">
        <v>13</v>
      </c>
      <c r="I15" s="11" t="s">
        <v>14</v>
      </c>
      <c r="J15" s="11"/>
      <c r="K15" s="14"/>
    </row>
    <row r="16" ht="63.75" customHeight="1">
      <c r="A16" s="5" t="s">
        <v>30</v>
      </c>
      <c r="B16" s="6" t="s">
        <v>39</v>
      </c>
      <c r="C16" s="6"/>
      <c r="D16" s="7" t="s">
        <v>10</v>
      </c>
      <c r="E16" s="6"/>
      <c r="F16" s="6" t="s">
        <v>38</v>
      </c>
      <c r="G16" s="6" t="s">
        <v>18</v>
      </c>
      <c r="H16" s="6" t="s">
        <v>13</v>
      </c>
      <c r="I16" s="6" t="s">
        <v>14</v>
      </c>
      <c r="J16" s="6"/>
      <c r="K16" s="9"/>
    </row>
    <row r="17" ht="63.75" customHeight="1">
      <c r="A17" s="10" t="s">
        <v>30</v>
      </c>
      <c r="B17" s="11" t="s">
        <v>40</v>
      </c>
      <c r="C17" s="11"/>
      <c r="D17" s="12" t="s">
        <v>10</v>
      </c>
      <c r="E17" s="11"/>
      <c r="F17" s="11" t="s">
        <v>41</v>
      </c>
      <c r="G17" s="11" t="s">
        <v>18</v>
      </c>
      <c r="H17" s="11" t="s">
        <v>13</v>
      </c>
      <c r="I17" s="11" t="s">
        <v>14</v>
      </c>
      <c r="J17" s="11"/>
      <c r="K17" s="14"/>
    </row>
    <row r="18" ht="63.75" customHeight="1">
      <c r="A18" s="5" t="s">
        <v>42</v>
      </c>
      <c r="B18" s="6" t="s">
        <v>43</v>
      </c>
      <c r="C18" s="6"/>
      <c r="D18" s="7" t="s">
        <v>10</v>
      </c>
      <c r="E18" s="6"/>
      <c r="F18" s="6" t="s">
        <v>44</v>
      </c>
      <c r="G18" s="6" t="s">
        <v>12</v>
      </c>
      <c r="H18" s="6" t="s">
        <v>13</v>
      </c>
      <c r="I18" s="6" t="s">
        <v>14</v>
      </c>
      <c r="J18" s="6"/>
      <c r="K18" s="9"/>
    </row>
    <row r="19" ht="63.75" customHeight="1">
      <c r="A19" s="10" t="s">
        <v>42</v>
      </c>
      <c r="B19" s="11" t="s">
        <v>45</v>
      </c>
      <c r="C19" s="11"/>
      <c r="D19" s="12" t="s">
        <v>10</v>
      </c>
      <c r="E19" s="11"/>
      <c r="F19" s="11" t="s">
        <v>44</v>
      </c>
      <c r="G19" s="11" t="s">
        <v>12</v>
      </c>
      <c r="H19" s="11" t="s">
        <v>13</v>
      </c>
      <c r="I19" s="11" t="s">
        <v>14</v>
      </c>
      <c r="J19" s="11"/>
      <c r="K19" s="14"/>
    </row>
    <row r="20" ht="63.75" customHeight="1">
      <c r="A20" s="5" t="s">
        <v>42</v>
      </c>
      <c r="B20" s="6" t="s">
        <v>46</v>
      </c>
      <c r="C20" s="6"/>
      <c r="D20" s="7" t="s">
        <v>10</v>
      </c>
      <c r="E20" s="6"/>
      <c r="F20" s="6" t="s">
        <v>44</v>
      </c>
      <c r="G20" s="6" t="s">
        <v>12</v>
      </c>
      <c r="H20" s="6" t="s">
        <v>13</v>
      </c>
      <c r="I20" s="6" t="s">
        <v>14</v>
      </c>
      <c r="J20" s="6"/>
      <c r="K20" s="9"/>
    </row>
    <row r="21" ht="63.75" customHeight="1">
      <c r="A21" s="10" t="s">
        <v>42</v>
      </c>
      <c r="B21" s="11" t="s">
        <v>47</v>
      </c>
      <c r="C21" s="11"/>
      <c r="D21" s="12" t="s">
        <v>10</v>
      </c>
      <c r="E21" s="11"/>
      <c r="F21" s="11" t="s">
        <v>44</v>
      </c>
      <c r="G21" s="11" t="s">
        <v>12</v>
      </c>
      <c r="H21" s="11" t="s">
        <v>13</v>
      </c>
      <c r="I21" s="11" t="s">
        <v>14</v>
      </c>
      <c r="J21" s="11"/>
      <c r="K21" s="14"/>
    </row>
    <row r="22" ht="63.75" customHeight="1">
      <c r="A22" s="5" t="s">
        <v>42</v>
      </c>
      <c r="B22" s="6" t="s">
        <v>48</v>
      </c>
      <c r="C22" s="6"/>
      <c r="D22" s="7" t="s">
        <v>10</v>
      </c>
      <c r="E22" s="6"/>
      <c r="F22" s="6" t="s">
        <v>49</v>
      </c>
      <c r="G22" s="6" t="s">
        <v>12</v>
      </c>
      <c r="H22" s="6" t="s">
        <v>13</v>
      </c>
      <c r="I22" s="6" t="s">
        <v>14</v>
      </c>
      <c r="J22" s="6"/>
      <c r="K22" s="9"/>
    </row>
    <row r="23" ht="63.75" customHeight="1">
      <c r="A23" s="10" t="s">
        <v>42</v>
      </c>
      <c r="B23" s="11" t="s">
        <v>50</v>
      </c>
      <c r="C23" s="11"/>
      <c r="D23" s="12" t="s">
        <v>10</v>
      </c>
      <c r="E23" s="11"/>
      <c r="F23" s="11" t="s">
        <v>49</v>
      </c>
      <c r="G23" s="11" t="s">
        <v>12</v>
      </c>
      <c r="H23" s="11" t="s">
        <v>13</v>
      </c>
      <c r="I23" s="11" t="s">
        <v>14</v>
      </c>
      <c r="J23" s="11"/>
      <c r="K23" s="14"/>
    </row>
    <row r="24" ht="63.75" customHeight="1">
      <c r="A24" s="5" t="s">
        <v>42</v>
      </c>
      <c r="B24" s="6" t="s">
        <v>51</v>
      </c>
      <c r="C24" s="6"/>
      <c r="D24" s="7" t="s">
        <v>10</v>
      </c>
      <c r="E24" s="6"/>
      <c r="F24" s="6" t="s">
        <v>49</v>
      </c>
      <c r="G24" s="6" t="s">
        <v>12</v>
      </c>
      <c r="H24" s="6" t="s">
        <v>13</v>
      </c>
      <c r="I24" s="6" t="s">
        <v>14</v>
      </c>
      <c r="J24" s="6"/>
      <c r="K24" s="9"/>
    </row>
    <row r="25" ht="63.75" customHeight="1">
      <c r="A25" s="10" t="s">
        <v>42</v>
      </c>
      <c r="B25" s="11" t="s">
        <v>52</v>
      </c>
      <c r="C25" s="11"/>
      <c r="D25" s="12" t="s">
        <v>10</v>
      </c>
      <c r="E25" s="11"/>
      <c r="F25" s="11" t="s">
        <v>49</v>
      </c>
      <c r="G25" s="11" t="s">
        <v>12</v>
      </c>
      <c r="H25" s="11" t="s">
        <v>13</v>
      </c>
      <c r="I25" s="11" t="s">
        <v>14</v>
      </c>
      <c r="J25" s="11"/>
      <c r="K25" s="14"/>
    </row>
    <row r="26" ht="63.75" customHeight="1">
      <c r="A26" s="5" t="s">
        <v>53</v>
      </c>
      <c r="B26" s="6" t="s">
        <v>54</v>
      </c>
      <c r="C26" s="6"/>
      <c r="D26" s="7" t="s">
        <v>55</v>
      </c>
      <c r="E26" s="6"/>
      <c r="F26" s="6" t="s">
        <v>56</v>
      </c>
      <c r="G26" s="6"/>
      <c r="H26" s="6"/>
      <c r="I26" s="6"/>
      <c r="J26" s="6"/>
      <c r="K26" s="9"/>
    </row>
    <row r="27" ht="63.75" customHeight="1">
      <c r="A27" s="10" t="s">
        <v>57</v>
      </c>
      <c r="B27" s="11" t="s">
        <v>58</v>
      </c>
      <c r="C27" s="11"/>
      <c r="D27" s="12" t="s">
        <v>10</v>
      </c>
      <c r="E27" s="11"/>
      <c r="F27" s="11" t="s">
        <v>59</v>
      </c>
      <c r="G27" s="11" t="s">
        <v>12</v>
      </c>
      <c r="H27" s="11" t="s">
        <v>13</v>
      </c>
      <c r="I27" s="11" t="s">
        <v>14</v>
      </c>
      <c r="J27" s="11"/>
      <c r="K27" s="14"/>
    </row>
    <row r="28" ht="63.75" customHeight="1">
      <c r="A28" s="5" t="s">
        <v>57</v>
      </c>
      <c r="B28" s="6" t="s">
        <v>60</v>
      </c>
      <c r="C28" s="6"/>
      <c r="D28" s="7" t="s">
        <v>10</v>
      </c>
      <c r="E28" s="6"/>
      <c r="F28" s="6" t="s">
        <v>59</v>
      </c>
      <c r="G28" s="6" t="s">
        <v>12</v>
      </c>
      <c r="H28" s="6" t="s">
        <v>13</v>
      </c>
      <c r="I28" s="6" t="s">
        <v>14</v>
      </c>
      <c r="J28" s="6"/>
      <c r="K28" s="9"/>
    </row>
    <row r="29" ht="63.75" customHeight="1">
      <c r="A29" s="10" t="s">
        <v>57</v>
      </c>
      <c r="B29" s="11" t="s">
        <v>61</v>
      </c>
      <c r="C29" s="11"/>
      <c r="D29" s="12" t="s">
        <v>10</v>
      </c>
      <c r="E29" s="11"/>
      <c r="F29" s="11" t="s">
        <v>62</v>
      </c>
      <c r="G29" s="11" t="s">
        <v>12</v>
      </c>
      <c r="H29" s="11" t="s">
        <v>13</v>
      </c>
      <c r="I29" s="11" t="s">
        <v>14</v>
      </c>
      <c r="J29" s="11"/>
      <c r="K29" s="14"/>
    </row>
    <row r="30" ht="63.75" customHeight="1">
      <c r="A30" s="5" t="s">
        <v>63</v>
      </c>
      <c r="B30" s="6" t="s">
        <v>64</v>
      </c>
      <c r="C30" s="6"/>
      <c r="D30" s="7" t="s">
        <v>10</v>
      </c>
      <c r="E30" s="6"/>
      <c r="F30" s="6" t="s">
        <v>65</v>
      </c>
      <c r="G30" s="6" t="s">
        <v>66</v>
      </c>
      <c r="H30" s="6" t="s">
        <v>18</v>
      </c>
      <c r="I30" s="6" t="s">
        <v>13</v>
      </c>
      <c r="J30" s="6" t="s">
        <v>14</v>
      </c>
      <c r="K30" s="9"/>
    </row>
    <row r="31" ht="63.75" customHeight="1">
      <c r="A31" s="10" t="s">
        <v>67</v>
      </c>
      <c r="B31" s="11" t="s">
        <v>68</v>
      </c>
      <c r="C31" s="11" t="s">
        <v>10</v>
      </c>
      <c r="D31" s="12" t="s">
        <v>10</v>
      </c>
      <c r="E31" s="11"/>
      <c r="F31" s="11" t="s">
        <v>69</v>
      </c>
      <c r="G31" s="11" t="s">
        <v>18</v>
      </c>
      <c r="H31" s="11" t="s">
        <v>13</v>
      </c>
      <c r="I31" s="11" t="s">
        <v>14</v>
      </c>
      <c r="J31" s="11"/>
      <c r="K31" s="14"/>
    </row>
    <row r="32" ht="63.75" customHeight="1">
      <c r="A32" s="5" t="s">
        <v>67</v>
      </c>
      <c r="B32" s="6" t="s">
        <v>70</v>
      </c>
      <c r="C32" s="6" t="s">
        <v>10</v>
      </c>
      <c r="D32" s="7" t="s">
        <v>10</v>
      </c>
      <c r="E32" s="6"/>
      <c r="F32" s="6" t="s">
        <v>69</v>
      </c>
      <c r="G32" s="6" t="s">
        <v>18</v>
      </c>
      <c r="H32" s="6" t="s">
        <v>13</v>
      </c>
      <c r="I32" s="6" t="s">
        <v>14</v>
      </c>
      <c r="J32" s="6"/>
      <c r="K32" s="9"/>
    </row>
    <row r="33" ht="63.75" customHeight="1">
      <c r="A33" s="10" t="s">
        <v>67</v>
      </c>
      <c r="B33" s="11" t="s">
        <v>71</v>
      </c>
      <c r="C33" s="11" t="s">
        <v>10</v>
      </c>
      <c r="D33" s="12" t="s">
        <v>10</v>
      </c>
      <c r="E33" s="11"/>
      <c r="F33" s="11" t="s">
        <v>69</v>
      </c>
      <c r="G33" s="11" t="s">
        <v>18</v>
      </c>
      <c r="H33" s="11" t="s">
        <v>13</v>
      </c>
      <c r="I33" s="11" t="s">
        <v>14</v>
      </c>
      <c r="J33" s="11"/>
      <c r="K33" s="14"/>
    </row>
    <row r="34" ht="63.75" customHeight="1">
      <c r="A34" s="5" t="s">
        <v>67</v>
      </c>
      <c r="B34" s="6" t="s">
        <v>72</v>
      </c>
      <c r="C34" s="6" t="s">
        <v>10</v>
      </c>
      <c r="D34" s="7" t="s">
        <v>10</v>
      </c>
      <c r="E34" s="6"/>
      <c r="F34" s="6" t="s">
        <v>69</v>
      </c>
      <c r="G34" s="6" t="s">
        <v>18</v>
      </c>
      <c r="H34" s="6" t="s">
        <v>13</v>
      </c>
      <c r="I34" s="6" t="s">
        <v>14</v>
      </c>
      <c r="J34" s="6"/>
      <c r="K34" s="9"/>
    </row>
    <row r="35" ht="63.75" customHeight="1">
      <c r="A35" s="10" t="s">
        <v>67</v>
      </c>
      <c r="B35" s="11" t="s">
        <v>73</v>
      </c>
      <c r="C35" s="11"/>
      <c r="D35" s="12" t="s">
        <v>10</v>
      </c>
      <c r="E35" s="11"/>
      <c r="F35" s="11" t="s">
        <v>74</v>
      </c>
      <c r="G35" s="11" t="s">
        <v>66</v>
      </c>
      <c r="H35" s="11" t="s">
        <v>18</v>
      </c>
      <c r="I35" s="11" t="s">
        <v>13</v>
      </c>
      <c r="J35" s="11" t="s">
        <v>14</v>
      </c>
      <c r="K35" s="14"/>
    </row>
    <row r="36" ht="63.75" customHeight="1">
      <c r="A36" s="5" t="s">
        <v>67</v>
      </c>
      <c r="B36" s="6" t="s">
        <v>75</v>
      </c>
      <c r="C36" s="6"/>
      <c r="D36" s="7" t="s">
        <v>10</v>
      </c>
      <c r="E36" s="6"/>
      <c r="F36" s="6" t="s">
        <v>76</v>
      </c>
      <c r="G36" s="6" t="s">
        <v>18</v>
      </c>
      <c r="H36" s="6" t="s">
        <v>13</v>
      </c>
      <c r="I36" s="6" t="s">
        <v>14</v>
      </c>
      <c r="J36" s="6" t="s">
        <v>14</v>
      </c>
      <c r="K36" s="9"/>
    </row>
    <row r="37" ht="63.75" customHeight="1">
      <c r="A37" s="10" t="s">
        <v>67</v>
      </c>
      <c r="B37" s="11" t="s">
        <v>77</v>
      </c>
      <c r="C37" s="11"/>
      <c r="D37" s="12" t="s">
        <v>10</v>
      </c>
      <c r="E37" s="11"/>
      <c r="F37" s="11" t="s">
        <v>76</v>
      </c>
      <c r="G37" s="11" t="s">
        <v>18</v>
      </c>
      <c r="H37" s="11" t="s">
        <v>13</v>
      </c>
      <c r="I37" s="11" t="s">
        <v>14</v>
      </c>
      <c r="J37" s="11" t="s">
        <v>14</v>
      </c>
      <c r="K37" s="14"/>
    </row>
    <row r="38" ht="63.75" customHeight="1">
      <c r="A38" s="5" t="s">
        <v>67</v>
      </c>
      <c r="B38" s="6" t="s">
        <v>78</v>
      </c>
      <c r="C38" s="6"/>
      <c r="D38" s="7" t="s">
        <v>10</v>
      </c>
      <c r="E38" s="6"/>
      <c r="F38" s="6" t="s">
        <v>76</v>
      </c>
      <c r="G38" s="6" t="s">
        <v>18</v>
      </c>
      <c r="H38" s="6" t="s">
        <v>13</v>
      </c>
      <c r="I38" s="6" t="s">
        <v>14</v>
      </c>
      <c r="J38" s="6" t="s">
        <v>14</v>
      </c>
      <c r="K38" s="9"/>
    </row>
    <row r="39" ht="63.75" customHeight="1">
      <c r="A39" s="10" t="s">
        <v>67</v>
      </c>
      <c r="B39" s="11" t="s">
        <v>79</v>
      </c>
      <c r="C39" s="11"/>
      <c r="D39" s="12" t="s">
        <v>10</v>
      </c>
      <c r="E39" s="11"/>
      <c r="F39" s="11" t="s">
        <v>80</v>
      </c>
      <c r="G39" s="11" t="s">
        <v>12</v>
      </c>
      <c r="H39" s="11" t="s">
        <v>13</v>
      </c>
      <c r="I39" s="11" t="s">
        <v>14</v>
      </c>
      <c r="J39" s="11"/>
      <c r="K39" s="14"/>
    </row>
    <row r="40" ht="63.75" customHeight="1">
      <c r="A40" s="5" t="s">
        <v>67</v>
      </c>
      <c r="B40" s="6" t="s">
        <v>81</v>
      </c>
      <c r="C40" s="6"/>
      <c r="D40" s="7" t="s">
        <v>10</v>
      </c>
      <c r="E40" s="6"/>
      <c r="F40" s="6" t="s">
        <v>80</v>
      </c>
      <c r="G40" s="6" t="s">
        <v>12</v>
      </c>
      <c r="H40" s="6" t="s">
        <v>13</v>
      </c>
      <c r="I40" s="6" t="s">
        <v>14</v>
      </c>
      <c r="J40" s="6"/>
      <c r="K40" s="9"/>
    </row>
    <row r="41" ht="63.75" customHeight="1">
      <c r="A41" s="10" t="s">
        <v>67</v>
      </c>
      <c r="B41" s="11" t="s">
        <v>82</v>
      </c>
      <c r="C41" s="11"/>
      <c r="D41" s="12" t="s">
        <v>10</v>
      </c>
      <c r="E41" s="11"/>
      <c r="F41" s="11" t="s">
        <v>80</v>
      </c>
      <c r="G41" s="11" t="s">
        <v>12</v>
      </c>
      <c r="H41" s="11" t="s">
        <v>13</v>
      </c>
      <c r="I41" s="11" t="s">
        <v>14</v>
      </c>
      <c r="J41" s="11"/>
      <c r="K41" s="14"/>
    </row>
    <row r="42" ht="63.75" customHeight="1">
      <c r="A42" s="5" t="s">
        <v>83</v>
      </c>
      <c r="B42" s="6" t="s">
        <v>84</v>
      </c>
      <c r="C42" s="6" t="s">
        <v>10</v>
      </c>
      <c r="D42" s="7" t="s">
        <v>10</v>
      </c>
      <c r="E42" s="6"/>
      <c r="F42" s="6" t="s">
        <v>85</v>
      </c>
      <c r="G42" s="6" t="s">
        <v>12</v>
      </c>
      <c r="H42" s="6" t="s">
        <v>13</v>
      </c>
      <c r="I42" s="6" t="s">
        <v>14</v>
      </c>
      <c r="J42" s="6"/>
      <c r="K42" s="9"/>
    </row>
    <row r="43" ht="63.75" customHeight="1">
      <c r="A43" s="10" t="s">
        <v>83</v>
      </c>
      <c r="B43" s="11" t="s">
        <v>86</v>
      </c>
      <c r="C43" s="11"/>
      <c r="D43" s="12"/>
      <c r="E43" s="11"/>
      <c r="F43" s="11" t="s">
        <v>87</v>
      </c>
      <c r="G43" s="11"/>
      <c r="H43" s="11"/>
      <c r="I43" s="11"/>
      <c r="J43" s="11"/>
      <c r="K43" s="14"/>
    </row>
    <row r="44" ht="63.75" customHeight="1">
      <c r="A44" s="5" t="s">
        <v>83</v>
      </c>
      <c r="B44" s="6" t="s">
        <v>88</v>
      </c>
      <c r="C44" s="6"/>
      <c r="D44" s="7"/>
      <c r="E44" s="6"/>
      <c r="F44" s="6" t="s">
        <v>87</v>
      </c>
      <c r="G44" s="6"/>
      <c r="H44" s="6"/>
      <c r="I44" s="6"/>
      <c r="J44" s="6"/>
      <c r="K44" s="9"/>
    </row>
    <row r="45" ht="63.75" customHeight="1">
      <c r="A45" s="10" t="s">
        <v>83</v>
      </c>
      <c r="B45" s="11" t="s">
        <v>89</v>
      </c>
      <c r="C45" s="11"/>
      <c r="D45" s="12"/>
      <c r="E45" s="11"/>
      <c r="F45" s="11" t="s">
        <v>87</v>
      </c>
      <c r="G45" s="11"/>
      <c r="H45" s="11"/>
      <c r="I45" s="11"/>
      <c r="J45" s="11"/>
      <c r="K45" s="14"/>
    </row>
    <row r="46" ht="63.75" customHeight="1">
      <c r="A46" s="5" t="s">
        <v>83</v>
      </c>
      <c r="B46" s="6" t="s">
        <v>90</v>
      </c>
      <c r="C46" s="6"/>
      <c r="D46" s="7"/>
      <c r="E46" s="6"/>
      <c r="F46" s="6" t="s">
        <v>87</v>
      </c>
      <c r="G46" s="6"/>
      <c r="H46" s="6"/>
      <c r="I46" s="6"/>
      <c r="J46" s="6"/>
      <c r="K46" s="9"/>
    </row>
    <row r="47" ht="63.75" customHeight="1">
      <c r="A47" s="10" t="s">
        <v>83</v>
      </c>
      <c r="B47" s="11">
        <v>8725.0</v>
      </c>
      <c r="C47" s="11"/>
      <c r="D47" s="12"/>
      <c r="E47" s="11"/>
      <c r="F47" s="11" t="s">
        <v>87</v>
      </c>
      <c r="G47" s="11"/>
      <c r="H47" s="11"/>
      <c r="I47" s="11"/>
      <c r="J47" s="11"/>
      <c r="K47" s="14"/>
    </row>
    <row r="48" ht="63.75" customHeight="1">
      <c r="A48" s="5" t="s">
        <v>83</v>
      </c>
      <c r="B48" s="6">
        <v>1753.0</v>
      </c>
      <c r="C48" s="6"/>
      <c r="D48" s="7"/>
      <c r="E48" s="6"/>
      <c r="F48" s="6" t="s">
        <v>87</v>
      </c>
      <c r="G48" s="6"/>
      <c r="H48" s="6"/>
      <c r="I48" s="6"/>
      <c r="J48" s="6"/>
      <c r="K48" s="9"/>
    </row>
    <row r="49" ht="63.75" customHeight="1">
      <c r="A49" s="10" t="s">
        <v>91</v>
      </c>
      <c r="B49" s="11" t="s">
        <v>92</v>
      </c>
      <c r="C49" s="11" t="s">
        <v>10</v>
      </c>
      <c r="D49" s="12" t="s">
        <v>10</v>
      </c>
      <c r="E49" s="11"/>
      <c r="F49" s="11" t="s">
        <v>93</v>
      </c>
      <c r="G49" s="11" t="s">
        <v>12</v>
      </c>
      <c r="H49" s="11" t="s">
        <v>13</v>
      </c>
      <c r="I49" s="11" t="s">
        <v>14</v>
      </c>
      <c r="J49" s="11"/>
      <c r="K49" s="14"/>
    </row>
    <row r="50" ht="63.75" customHeight="1">
      <c r="A50" s="5" t="s">
        <v>91</v>
      </c>
      <c r="B50" s="6" t="s">
        <v>94</v>
      </c>
      <c r="C50" s="6" t="s">
        <v>10</v>
      </c>
      <c r="D50" s="7" t="s">
        <v>10</v>
      </c>
      <c r="E50" s="6"/>
      <c r="F50" s="6" t="s">
        <v>93</v>
      </c>
      <c r="G50" s="6" t="s">
        <v>12</v>
      </c>
      <c r="H50" s="6" t="s">
        <v>13</v>
      </c>
      <c r="I50" s="6" t="s">
        <v>14</v>
      </c>
      <c r="J50" s="6"/>
      <c r="K50" s="9"/>
    </row>
    <row r="51" ht="63.75" customHeight="1">
      <c r="A51" s="10" t="s">
        <v>91</v>
      </c>
      <c r="B51" s="11" t="s">
        <v>95</v>
      </c>
      <c r="C51" s="11" t="s">
        <v>10</v>
      </c>
      <c r="D51" s="12" t="s">
        <v>10</v>
      </c>
      <c r="E51" s="11"/>
      <c r="F51" s="11" t="s">
        <v>93</v>
      </c>
      <c r="G51" s="11" t="s">
        <v>12</v>
      </c>
      <c r="H51" s="11" t="s">
        <v>13</v>
      </c>
      <c r="I51" s="11" t="s">
        <v>14</v>
      </c>
      <c r="J51" s="11"/>
      <c r="K51" s="14"/>
    </row>
    <row r="52" ht="63.75" customHeight="1">
      <c r="A52" s="5" t="s">
        <v>91</v>
      </c>
      <c r="B52" s="6" t="s">
        <v>96</v>
      </c>
      <c r="C52" s="6" t="s">
        <v>10</v>
      </c>
      <c r="D52" s="7" t="s">
        <v>10</v>
      </c>
      <c r="E52" s="8" t="s">
        <v>97</v>
      </c>
      <c r="F52" s="6" t="s">
        <v>98</v>
      </c>
      <c r="G52" s="6" t="s">
        <v>12</v>
      </c>
      <c r="H52" s="6" t="s">
        <v>13</v>
      </c>
      <c r="I52" s="6" t="s">
        <v>14</v>
      </c>
      <c r="J52" s="6"/>
      <c r="K52" s="9"/>
    </row>
    <row r="53" ht="63.75" customHeight="1">
      <c r="A53" s="10" t="s">
        <v>91</v>
      </c>
      <c r="B53" s="11" t="s">
        <v>99</v>
      </c>
      <c r="C53" s="11" t="s">
        <v>10</v>
      </c>
      <c r="D53" s="12" t="s">
        <v>10</v>
      </c>
      <c r="E53" s="13" t="s">
        <v>97</v>
      </c>
      <c r="F53" s="11" t="s">
        <v>98</v>
      </c>
      <c r="G53" s="11" t="s">
        <v>12</v>
      </c>
      <c r="H53" s="11" t="s">
        <v>13</v>
      </c>
      <c r="I53" s="11" t="s">
        <v>14</v>
      </c>
      <c r="J53" s="11"/>
      <c r="K53" s="14"/>
    </row>
    <row r="54" ht="63.75" customHeight="1">
      <c r="A54" s="5" t="s">
        <v>91</v>
      </c>
      <c r="B54" s="6" t="s">
        <v>96</v>
      </c>
      <c r="C54" s="6" t="s">
        <v>10</v>
      </c>
      <c r="D54" s="7" t="s">
        <v>10</v>
      </c>
      <c r="E54" s="11" t="s">
        <v>97</v>
      </c>
      <c r="F54" s="6" t="s">
        <v>98</v>
      </c>
      <c r="G54" s="6" t="s">
        <v>12</v>
      </c>
      <c r="H54" s="6" t="s">
        <v>13</v>
      </c>
      <c r="I54" s="6" t="s">
        <v>14</v>
      </c>
      <c r="J54" s="6"/>
      <c r="K54" s="9"/>
    </row>
    <row r="55" ht="63.75" customHeight="1">
      <c r="A55" s="5" t="s">
        <v>91</v>
      </c>
      <c r="B55" s="6" t="s">
        <v>96</v>
      </c>
      <c r="C55" s="6" t="s">
        <v>10</v>
      </c>
      <c r="D55" s="7" t="s">
        <v>10</v>
      </c>
      <c r="E55" s="11" t="s">
        <v>97</v>
      </c>
      <c r="F55" s="6" t="s">
        <v>98</v>
      </c>
      <c r="G55" s="6" t="s">
        <v>12</v>
      </c>
      <c r="H55" s="6" t="s">
        <v>13</v>
      </c>
      <c r="I55" s="6" t="s">
        <v>14</v>
      </c>
      <c r="J55" s="6"/>
      <c r="K55" s="9"/>
    </row>
    <row r="56" ht="63.75" customHeight="1">
      <c r="A56" s="5" t="s">
        <v>91</v>
      </c>
      <c r="B56" s="6" t="s">
        <v>96</v>
      </c>
      <c r="C56" s="6" t="s">
        <v>10</v>
      </c>
      <c r="D56" s="7" t="s">
        <v>10</v>
      </c>
      <c r="E56" s="11" t="s">
        <v>97</v>
      </c>
      <c r="F56" s="6" t="s">
        <v>98</v>
      </c>
      <c r="G56" s="6" t="s">
        <v>12</v>
      </c>
      <c r="H56" s="6" t="s">
        <v>13</v>
      </c>
      <c r="I56" s="6" t="s">
        <v>14</v>
      </c>
      <c r="J56" s="6"/>
      <c r="K56" s="9"/>
    </row>
    <row r="57" ht="63.75" customHeight="1">
      <c r="A57" s="5" t="s">
        <v>91</v>
      </c>
      <c r="B57" s="6" t="s">
        <v>100</v>
      </c>
      <c r="C57" s="6" t="s">
        <v>10</v>
      </c>
      <c r="D57" s="7" t="s">
        <v>10</v>
      </c>
      <c r="E57" s="8" t="s">
        <v>101</v>
      </c>
      <c r="F57" s="6" t="s">
        <v>102</v>
      </c>
      <c r="G57" s="6" t="s">
        <v>12</v>
      </c>
      <c r="H57" s="6" t="s">
        <v>13</v>
      </c>
      <c r="I57" s="6" t="s">
        <v>14</v>
      </c>
      <c r="J57" s="6"/>
      <c r="K57" s="9"/>
    </row>
    <row r="58" ht="63.75" customHeight="1">
      <c r="A58" s="10" t="s">
        <v>91</v>
      </c>
      <c r="B58" s="11" t="s">
        <v>103</v>
      </c>
      <c r="C58" s="11" t="s">
        <v>10</v>
      </c>
      <c r="D58" s="12" t="s">
        <v>10</v>
      </c>
      <c r="E58" s="11" t="s">
        <v>101</v>
      </c>
      <c r="F58" s="11" t="s">
        <v>102</v>
      </c>
      <c r="G58" s="11" t="s">
        <v>12</v>
      </c>
      <c r="H58" s="11" t="s">
        <v>13</v>
      </c>
      <c r="I58" s="11" t="s">
        <v>14</v>
      </c>
      <c r="J58" s="11"/>
      <c r="K58" s="14"/>
    </row>
    <row r="59" ht="63.75" customHeight="1">
      <c r="A59" s="5" t="s">
        <v>91</v>
      </c>
      <c r="B59" s="6" t="s">
        <v>100</v>
      </c>
      <c r="C59" s="6" t="s">
        <v>10</v>
      </c>
      <c r="D59" s="7" t="s">
        <v>10</v>
      </c>
      <c r="E59" s="8" t="s">
        <v>104</v>
      </c>
      <c r="F59" s="6" t="s">
        <v>102</v>
      </c>
      <c r="G59" s="6" t="s">
        <v>12</v>
      </c>
      <c r="H59" s="6" t="s">
        <v>13</v>
      </c>
      <c r="I59" s="6" t="s">
        <v>14</v>
      </c>
      <c r="J59" s="6"/>
      <c r="K59" s="9"/>
    </row>
    <row r="60" ht="63.75" customHeight="1">
      <c r="A60" s="10" t="s">
        <v>91</v>
      </c>
      <c r="B60" s="11" t="s">
        <v>103</v>
      </c>
      <c r="C60" s="11" t="s">
        <v>10</v>
      </c>
      <c r="D60" s="12" t="s">
        <v>10</v>
      </c>
      <c r="E60" s="11" t="s">
        <v>104</v>
      </c>
      <c r="F60" s="11" t="s">
        <v>102</v>
      </c>
      <c r="G60" s="11" t="s">
        <v>12</v>
      </c>
      <c r="H60" s="11" t="s">
        <v>13</v>
      </c>
      <c r="I60" s="11" t="s">
        <v>14</v>
      </c>
      <c r="J60" s="11"/>
      <c r="K60" s="14"/>
    </row>
    <row r="61" ht="63.75" customHeight="1">
      <c r="A61" s="5" t="s">
        <v>91</v>
      </c>
      <c r="B61" s="6" t="s">
        <v>105</v>
      </c>
      <c r="C61" s="6"/>
      <c r="D61" s="7" t="s">
        <v>10</v>
      </c>
      <c r="E61" s="6" t="s">
        <v>106</v>
      </c>
      <c r="F61" s="6" t="s">
        <v>107</v>
      </c>
      <c r="G61" s="6" t="s">
        <v>12</v>
      </c>
      <c r="H61" s="6" t="s">
        <v>13</v>
      </c>
      <c r="I61" s="6" t="s">
        <v>14</v>
      </c>
      <c r="J61" s="6"/>
      <c r="K61" s="9"/>
    </row>
    <row r="62" ht="63.75" customHeight="1">
      <c r="A62" s="10" t="s">
        <v>91</v>
      </c>
      <c r="B62" s="11" t="s">
        <v>108</v>
      </c>
      <c r="C62" s="11"/>
      <c r="D62" s="12" t="s">
        <v>10</v>
      </c>
      <c r="E62" s="11"/>
      <c r="F62" s="11" t="s">
        <v>109</v>
      </c>
      <c r="G62" s="11" t="s">
        <v>12</v>
      </c>
      <c r="H62" s="11" t="s">
        <v>13</v>
      </c>
      <c r="I62" s="11" t="s">
        <v>14</v>
      </c>
      <c r="J62" s="11"/>
      <c r="K62" s="14"/>
    </row>
    <row r="63" ht="63.75" customHeight="1">
      <c r="A63" s="5" t="s">
        <v>91</v>
      </c>
      <c r="B63" s="6" t="s">
        <v>110</v>
      </c>
      <c r="C63" s="6"/>
      <c r="D63" s="7" t="s">
        <v>10</v>
      </c>
      <c r="E63" s="6"/>
      <c r="F63" s="6" t="s">
        <v>109</v>
      </c>
      <c r="G63" s="6" t="s">
        <v>12</v>
      </c>
      <c r="H63" s="6" t="s">
        <v>13</v>
      </c>
      <c r="I63" s="6" t="s">
        <v>14</v>
      </c>
      <c r="J63" s="6"/>
      <c r="K63" s="9"/>
    </row>
    <row r="64" ht="63.75" customHeight="1">
      <c r="A64" s="10" t="s">
        <v>91</v>
      </c>
      <c r="B64" s="11" t="s">
        <v>100</v>
      </c>
      <c r="C64" s="11" t="s">
        <v>10</v>
      </c>
      <c r="D64" s="12" t="s">
        <v>10</v>
      </c>
      <c r="E64" s="11" t="s">
        <v>101</v>
      </c>
      <c r="F64" s="11" t="s">
        <v>102</v>
      </c>
      <c r="G64" s="11" t="s">
        <v>12</v>
      </c>
      <c r="H64" s="11" t="s">
        <v>13</v>
      </c>
      <c r="I64" s="11" t="s">
        <v>14</v>
      </c>
      <c r="J64" s="11"/>
      <c r="K64" s="14"/>
    </row>
    <row r="65" ht="63.75" customHeight="1">
      <c r="A65" s="5" t="s">
        <v>91</v>
      </c>
      <c r="B65" s="6" t="s">
        <v>103</v>
      </c>
      <c r="C65" s="6" t="s">
        <v>10</v>
      </c>
      <c r="D65" s="7" t="s">
        <v>10</v>
      </c>
      <c r="E65" s="6" t="s">
        <v>101</v>
      </c>
      <c r="F65" s="6" t="s">
        <v>102</v>
      </c>
      <c r="G65" s="6" t="s">
        <v>12</v>
      </c>
      <c r="H65" s="6" t="s">
        <v>13</v>
      </c>
      <c r="I65" s="6" t="s">
        <v>14</v>
      </c>
      <c r="J65" s="6"/>
      <c r="K65" s="9"/>
    </row>
    <row r="66" ht="63.75" customHeight="1">
      <c r="A66" s="10" t="s">
        <v>91</v>
      </c>
      <c r="B66" s="11" t="s">
        <v>100</v>
      </c>
      <c r="C66" s="11" t="s">
        <v>10</v>
      </c>
      <c r="D66" s="12" t="s">
        <v>10</v>
      </c>
      <c r="E66" s="11" t="s">
        <v>104</v>
      </c>
      <c r="F66" s="11" t="s">
        <v>102</v>
      </c>
      <c r="G66" s="11" t="s">
        <v>12</v>
      </c>
      <c r="H66" s="11" t="s">
        <v>13</v>
      </c>
      <c r="I66" s="11" t="s">
        <v>14</v>
      </c>
      <c r="J66" s="11"/>
      <c r="K66" s="14"/>
    </row>
    <row r="67" ht="63.75" customHeight="1">
      <c r="A67" s="5" t="s">
        <v>91</v>
      </c>
      <c r="B67" s="6" t="s">
        <v>103</v>
      </c>
      <c r="C67" s="6" t="s">
        <v>10</v>
      </c>
      <c r="D67" s="7" t="s">
        <v>10</v>
      </c>
      <c r="E67" s="6" t="s">
        <v>104</v>
      </c>
      <c r="F67" s="6" t="s">
        <v>102</v>
      </c>
      <c r="G67" s="6" t="s">
        <v>12</v>
      </c>
      <c r="H67" s="6" t="s">
        <v>13</v>
      </c>
      <c r="I67" s="6" t="s">
        <v>14</v>
      </c>
      <c r="J67" s="6"/>
      <c r="K67" s="9"/>
    </row>
    <row r="68" ht="63.75" customHeight="1">
      <c r="A68" s="10" t="s">
        <v>91</v>
      </c>
      <c r="B68" s="11" t="s">
        <v>96</v>
      </c>
      <c r="C68" s="11" t="s">
        <v>10</v>
      </c>
      <c r="D68" s="12" t="s">
        <v>10</v>
      </c>
      <c r="E68" s="11" t="s">
        <v>111</v>
      </c>
      <c r="F68" s="11" t="s">
        <v>98</v>
      </c>
      <c r="G68" s="11" t="s">
        <v>12</v>
      </c>
      <c r="H68" s="11" t="s">
        <v>13</v>
      </c>
      <c r="I68" s="11" t="s">
        <v>14</v>
      </c>
      <c r="J68" s="11"/>
      <c r="K68" s="14"/>
    </row>
    <row r="69" ht="63.75" customHeight="1">
      <c r="A69" s="10" t="s">
        <v>91</v>
      </c>
      <c r="B69" s="11" t="s">
        <v>96</v>
      </c>
      <c r="C69" s="11" t="s">
        <v>10</v>
      </c>
      <c r="D69" s="12" t="s">
        <v>10</v>
      </c>
      <c r="E69" s="11" t="s">
        <v>111</v>
      </c>
      <c r="F69" s="11" t="s">
        <v>98</v>
      </c>
      <c r="G69" s="11" t="s">
        <v>12</v>
      </c>
      <c r="H69" s="11" t="s">
        <v>13</v>
      </c>
      <c r="I69" s="11" t="s">
        <v>14</v>
      </c>
      <c r="J69" s="11"/>
      <c r="K69" s="14"/>
    </row>
    <row r="70" ht="63.75" customHeight="1">
      <c r="A70" s="10" t="s">
        <v>91</v>
      </c>
      <c r="B70" s="11" t="s">
        <v>96</v>
      </c>
      <c r="C70" s="11" t="s">
        <v>10</v>
      </c>
      <c r="D70" s="12" t="s">
        <v>10</v>
      </c>
      <c r="E70" s="11" t="s">
        <v>111</v>
      </c>
      <c r="F70" s="11" t="s">
        <v>98</v>
      </c>
      <c r="G70" s="11" t="s">
        <v>12</v>
      </c>
      <c r="H70" s="11" t="s">
        <v>13</v>
      </c>
      <c r="I70" s="11" t="s">
        <v>14</v>
      </c>
      <c r="J70" s="11"/>
      <c r="K70" s="14"/>
    </row>
    <row r="71" ht="63.75" customHeight="1">
      <c r="A71" s="10" t="s">
        <v>91</v>
      </c>
      <c r="B71" s="11" t="s">
        <v>96</v>
      </c>
      <c r="C71" s="11" t="s">
        <v>10</v>
      </c>
      <c r="D71" s="12" t="s">
        <v>10</v>
      </c>
      <c r="E71" s="11" t="s">
        <v>111</v>
      </c>
      <c r="F71" s="11" t="s">
        <v>98</v>
      </c>
      <c r="G71" s="11" t="s">
        <v>12</v>
      </c>
      <c r="H71" s="11" t="s">
        <v>13</v>
      </c>
      <c r="I71" s="11" t="s">
        <v>14</v>
      </c>
      <c r="J71" s="11"/>
      <c r="K71" s="14"/>
    </row>
    <row r="72" ht="63.75" customHeight="1">
      <c r="A72" s="5" t="s">
        <v>91</v>
      </c>
      <c r="B72" s="6" t="s">
        <v>99</v>
      </c>
      <c r="C72" s="6" t="s">
        <v>10</v>
      </c>
      <c r="D72" s="7" t="s">
        <v>10</v>
      </c>
      <c r="E72" s="11" t="s">
        <v>111</v>
      </c>
      <c r="F72" s="6" t="s">
        <v>98</v>
      </c>
      <c r="G72" s="6" t="s">
        <v>12</v>
      </c>
      <c r="H72" s="6" t="s">
        <v>13</v>
      </c>
      <c r="I72" s="6" t="s">
        <v>14</v>
      </c>
      <c r="J72" s="6"/>
      <c r="K72" s="9"/>
    </row>
    <row r="73" ht="63.75" customHeight="1">
      <c r="A73" s="10" t="s">
        <v>91</v>
      </c>
      <c r="B73" s="11" t="s">
        <v>96</v>
      </c>
      <c r="C73" s="11" t="s">
        <v>10</v>
      </c>
      <c r="D73" s="12" t="s">
        <v>10</v>
      </c>
      <c r="E73" s="11" t="s">
        <v>112</v>
      </c>
      <c r="F73" s="11" t="s">
        <v>98</v>
      </c>
      <c r="G73" s="11" t="s">
        <v>12</v>
      </c>
      <c r="H73" s="11" t="s">
        <v>13</v>
      </c>
      <c r="I73" s="11" t="s">
        <v>14</v>
      </c>
      <c r="J73" s="11"/>
      <c r="K73" s="14"/>
    </row>
    <row r="74" ht="63.75" customHeight="1">
      <c r="A74" s="5" t="s">
        <v>91</v>
      </c>
      <c r="B74" s="6" t="s">
        <v>99</v>
      </c>
      <c r="C74" s="6" t="s">
        <v>10</v>
      </c>
      <c r="D74" s="7" t="s">
        <v>10</v>
      </c>
      <c r="E74" s="11" t="s">
        <v>112</v>
      </c>
      <c r="F74" s="6" t="s">
        <v>98</v>
      </c>
      <c r="G74" s="6" t="s">
        <v>12</v>
      </c>
      <c r="H74" s="6" t="s">
        <v>13</v>
      </c>
      <c r="I74" s="6" t="s">
        <v>14</v>
      </c>
      <c r="J74" s="6"/>
      <c r="K74" s="9"/>
    </row>
    <row r="75" ht="63.75" customHeight="1">
      <c r="A75" s="10" t="s">
        <v>91</v>
      </c>
      <c r="B75" s="11" t="s">
        <v>96</v>
      </c>
      <c r="C75" s="11" t="s">
        <v>10</v>
      </c>
      <c r="D75" s="12" t="s">
        <v>10</v>
      </c>
      <c r="E75" s="11" t="s">
        <v>112</v>
      </c>
      <c r="F75" s="11" t="s">
        <v>98</v>
      </c>
      <c r="G75" s="11" t="s">
        <v>12</v>
      </c>
      <c r="H75" s="11" t="s">
        <v>13</v>
      </c>
      <c r="I75" s="11" t="s">
        <v>14</v>
      </c>
      <c r="J75" s="11"/>
      <c r="K75" s="14"/>
    </row>
    <row r="76" ht="63.75" customHeight="1">
      <c r="A76" s="10" t="s">
        <v>91</v>
      </c>
      <c r="B76" s="11" t="s">
        <v>96</v>
      </c>
      <c r="C76" s="11" t="s">
        <v>10</v>
      </c>
      <c r="D76" s="12" t="s">
        <v>10</v>
      </c>
      <c r="E76" s="11" t="s">
        <v>112</v>
      </c>
      <c r="F76" s="11" t="s">
        <v>98</v>
      </c>
      <c r="G76" s="11" t="s">
        <v>12</v>
      </c>
      <c r="H76" s="11" t="s">
        <v>13</v>
      </c>
      <c r="I76" s="11" t="s">
        <v>14</v>
      </c>
      <c r="J76" s="11"/>
      <c r="K76" s="14"/>
    </row>
    <row r="77" ht="63.75" customHeight="1">
      <c r="A77" s="10" t="s">
        <v>91</v>
      </c>
      <c r="B77" s="11" t="s">
        <v>96</v>
      </c>
      <c r="C77" s="11" t="s">
        <v>10</v>
      </c>
      <c r="D77" s="12" t="s">
        <v>10</v>
      </c>
      <c r="E77" s="11" t="s">
        <v>112</v>
      </c>
      <c r="F77" s="11" t="s">
        <v>98</v>
      </c>
      <c r="G77" s="11" t="s">
        <v>12</v>
      </c>
      <c r="H77" s="11" t="s">
        <v>13</v>
      </c>
      <c r="I77" s="11" t="s">
        <v>14</v>
      </c>
      <c r="J77" s="11"/>
      <c r="K77" s="14"/>
    </row>
    <row r="78" ht="63.75" customHeight="1">
      <c r="A78" s="10" t="s">
        <v>91</v>
      </c>
      <c r="B78" s="11" t="s">
        <v>96</v>
      </c>
      <c r="C78" s="11" t="s">
        <v>10</v>
      </c>
      <c r="D78" s="12" t="s">
        <v>10</v>
      </c>
      <c r="E78" s="11" t="s">
        <v>113</v>
      </c>
      <c r="F78" s="11" t="s">
        <v>98</v>
      </c>
      <c r="G78" s="11" t="s">
        <v>12</v>
      </c>
      <c r="H78" s="11" t="s">
        <v>13</v>
      </c>
      <c r="I78" s="11" t="s">
        <v>14</v>
      </c>
      <c r="J78" s="11"/>
      <c r="K78" s="14"/>
    </row>
    <row r="79" ht="63.75" customHeight="1">
      <c r="A79" s="10" t="s">
        <v>91</v>
      </c>
      <c r="B79" s="11" t="s">
        <v>96</v>
      </c>
      <c r="C79" s="11" t="s">
        <v>10</v>
      </c>
      <c r="D79" s="12" t="s">
        <v>10</v>
      </c>
      <c r="E79" s="11" t="s">
        <v>113</v>
      </c>
      <c r="F79" s="11" t="s">
        <v>98</v>
      </c>
      <c r="G79" s="11" t="s">
        <v>12</v>
      </c>
      <c r="H79" s="11" t="s">
        <v>13</v>
      </c>
      <c r="I79" s="11" t="s">
        <v>14</v>
      </c>
      <c r="J79" s="11"/>
      <c r="K79" s="14"/>
    </row>
    <row r="80" ht="63.75" customHeight="1">
      <c r="A80" s="10" t="s">
        <v>91</v>
      </c>
      <c r="B80" s="11" t="s">
        <v>96</v>
      </c>
      <c r="C80" s="11" t="s">
        <v>10</v>
      </c>
      <c r="D80" s="12" t="s">
        <v>10</v>
      </c>
      <c r="E80" s="11" t="s">
        <v>113</v>
      </c>
      <c r="F80" s="11" t="s">
        <v>98</v>
      </c>
      <c r="G80" s="11" t="s">
        <v>12</v>
      </c>
      <c r="H80" s="11" t="s">
        <v>13</v>
      </c>
      <c r="I80" s="11" t="s">
        <v>14</v>
      </c>
      <c r="J80" s="11"/>
      <c r="K80" s="14"/>
    </row>
    <row r="81" ht="63.75" customHeight="1">
      <c r="A81" s="10" t="s">
        <v>91</v>
      </c>
      <c r="B81" s="11" t="s">
        <v>96</v>
      </c>
      <c r="C81" s="11" t="s">
        <v>10</v>
      </c>
      <c r="D81" s="12" t="s">
        <v>10</v>
      </c>
      <c r="E81" s="11" t="s">
        <v>113</v>
      </c>
      <c r="F81" s="11" t="s">
        <v>98</v>
      </c>
      <c r="G81" s="11" t="s">
        <v>12</v>
      </c>
      <c r="H81" s="11" t="s">
        <v>13</v>
      </c>
      <c r="I81" s="11" t="s">
        <v>14</v>
      </c>
      <c r="J81" s="11"/>
      <c r="K81" s="14"/>
    </row>
    <row r="82" ht="63.75" customHeight="1">
      <c r="A82" s="5" t="s">
        <v>91</v>
      </c>
      <c r="B82" s="6" t="s">
        <v>99</v>
      </c>
      <c r="C82" s="6" t="s">
        <v>10</v>
      </c>
      <c r="D82" s="7" t="s">
        <v>10</v>
      </c>
      <c r="E82" s="11" t="s">
        <v>113</v>
      </c>
      <c r="F82" s="6" t="s">
        <v>98</v>
      </c>
      <c r="G82" s="6" t="s">
        <v>12</v>
      </c>
      <c r="H82" s="6" t="s">
        <v>13</v>
      </c>
      <c r="I82" s="6" t="s">
        <v>14</v>
      </c>
      <c r="J82" s="6"/>
      <c r="K82" s="9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</row>
  </sheetData>
  <autoFilter ref="$A$1:$K$82">
    <sortState ref="A1:K82">
      <sortCondition ref="A1:A82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25"/>
    <col customWidth="1" min="2" max="2" width="59.25"/>
    <col customWidth="1" min="3" max="3" width="17.38"/>
    <col customWidth="1" min="4" max="4" width="26.75"/>
    <col customWidth="1" min="5" max="5" width="8.63"/>
    <col customWidth="1" min="6" max="6" width="10.63"/>
    <col customWidth="1" min="7" max="7" width="18.75"/>
    <col customWidth="1" min="8" max="9" width="24.63"/>
    <col customWidth="1" min="10" max="10" width="13.88"/>
    <col customWidth="1" min="11" max="11" width="12.0"/>
    <col customWidth="1" min="12" max="12" width="13.88"/>
    <col customWidth="1" min="13" max="13" width="8.75"/>
    <col customWidth="1" min="14" max="26" width="8.63"/>
  </cols>
  <sheetData>
    <row r="1">
      <c r="A1" s="16" t="s">
        <v>114</v>
      </c>
      <c r="B1" s="17" t="s">
        <v>115</v>
      </c>
      <c r="C1" s="17" t="s">
        <v>4</v>
      </c>
      <c r="D1" s="17" t="s">
        <v>116</v>
      </c>
      <c r="E1" s="18" t="s">
        <v>117</v>
      </c>
      <c r="F1" s="18" t="s">
        <v>118</v>
      </c>
      <c r="G1" s="18" t="s">
        <v>119</v>
      </c>
      <c r="H1" s="15" t="s">
        <v>120</v>
      </c>
      <c r="I1" s="15" t="s">
        <v>121</v>
      </c>
      <c r="J1" s="19" t="s">
        <v>122</v>
      </c>
      <c r="K1" s="19" t="s">
        <v>123</v>
      </c>
      <c r="L1" s="19" t="s">
        <v>124</v>
      </c>
      <c r="M1" s="19" t="s">
        <v>125</v>
      </c>
      <c r="N1" s="19" t="s">
        <v>126</v>
      </c>
      <c r="O1" s="19" t="s">
        <v>127</v>
      </c>
      <c r="P1" s="19" t="s">
        <v>128</v>
      </c>
      <c r="Q1" s="19" t="s">
        <v>129</v>
      </c>
    </row>
    <row r="2" ht="75.75" customHeight="1">
      <c r="A2" s="15" t="s">
        <v>21</v>
      </c>
      <c r="B2" s="20">
        <v>3100410.0</v>
      </c>
      <c r="C2" s="20" t="s">
        <v>130</v>
      </c>
      <c r="D2" s="20" t="s">
        <v>131</v>
      </c>
      <c r="E2" s="21">
        <v>82.0</v>
      </c>
      <c r="F2" s="21">
        <v>122.0</v>
      </c>
      <c r="G2" s="21">
        <v>100.0</v>
      </c>
      <c r="H2" s="15" t="s">
        <v>10</v>
      </c>
      <c r="I2" s="15" t="s">
        <v>10</v>
      </c>
      <c r="J2" s="22">
        <f t="shared" ref="J2:J31" si="1">ROUNDDOWN(150/F2,0)</f>
        <v>1</v>
      </c>
      <c r="K2" s="22">
        <f t="shared" ref="K2:K31" si="2">ROUNDDOWN(600/E2,0)</f>
        <v>7</v>
      </c>
      <c r="L2" s="22">
        <f t="shared" ref="L2:L31" si="3">ROUNDDOWN(390/G2,0)</f>
        <v>3</v>
      </c>
      <c r="M2" s="22">
        <f t="shared" ref="M2:M31" si="4">J2*K2*L2</f>
        <v>21</v>
      </c>
      <c r="O2" s="23" t="s">
        <v>18</v>
      </c>
      <c r="P2" s="23" t="s">
        <v>13</v>
      </c>
      <c r="S2" s="24"/>
      <c r="T2" s="25" t="s">
        <v>132</v>
      </c>
      <c r="U2" s="26"/>
      <c r="V2" s="27"/>
    </row>
    <row r="3" ht="75.75" customHeight="1">
      <c r="A3" s="15" t="s">
        <v>133</v>
      </c>
      <c r="B3" s="20">
        <v>2671.0</v>
      </c>
      <c r="C3" s="20" t="s">
        <v>30</v>
      </c>
      <c r="D3" s="20" t="s">
        <v>134</v>
      </c>
      <c r="E3" s="21">
        <v>100.0</v>
      </c>
      <c r="F3" s="21">
        <v>60.0</v>
      </c>
      <c r="G3" s="21">
        <v>70.0</v>
      </c>
      <c r="H3" s="15" t="s">
        <v>10</v>
      </c>
      <c r="I3" s="15" t="s">
        <v>10</v>
      </c>
      <c r="J3" s="22">
        <f t="shared" si="1"/>
        <v>2</v>
      </c>
      <c r="K3" s="22">
        <f t="shared" si="2"/>
        <v>6</v>
      </c>
      <c r="L3" s="22">
        <f t="shared" si="3"/>
        <v>5</v>
      </c>
      <c r="M3" s="22">
        <f t="shared" si="4"/>
        <v>60</v>
      </c>
      <c r="O3" s="23" t="s">
        <v>18</v>
      </c>
      <c r="P3" s="23" t="s">
        <v>13</v>
      </c>
      <c r="S3" s="28" t="s">
        <v>135</v>
      </c>
      <c r="T3" s="29" t="s">
        <v>136</v>
      </c>
      <c r="U3" s="30"/>
      <c r="V3" s="31"/>
    </row>
    <row r="4" ht="75.75" customHeight="1">
      <c r="A4" s="32" t="s">
        <v>137</v>
      </c>
      <c r="B4" s="20" t="s">
        <v>138</v>
      </c>
      <c r="C4" s="20" t="s">
        <v>139</v>
      </c>
      <c r="D4" s="20" t="s">
        <v>137</v>
      </c>
      <c r="E4" s="21">
        <v>80.0</v>
      </c>
      <c r="F4" s="21">
        <v>120.0</v>
      </c>
      <c r="G4" s="33">
        <v>80.0</v>
      </c>
      <c r="H4" s="15"/>
      <c r="I4" s="15" t="s">
        <v>10</v>
      </c>
      <c r="J4" s="22">
        <f t="shared" si="1"/>
        <v>1</v>
      </c>
      <c r="K4" s="22">
        <f t="shared" si="2"/>
        <v>7</v>
      </c>
      <c r="L4" s="22">
        <f t="shared" si="3"/>
        <v>4</v>
      </c>
      <c r="M4" s="22">
        <f t="shared" si="4"/>
        <v>28</v>
      </c>
      <c r="O4" s="23" t="s">
        <v>18</v>
      </c>
      <c r="P4" s="23" t="s">
        <v>13</v>
      </c>
      <c r="S4" s="34"/>
      <c r="T4" s="35"/>
      <c r="V4" s="36"/>
    </row>
    <row r="5" ht="75.75" customHeight="1">
      <c r="A5" s="32" t="s">
        <v>140</v>
      </c>
      <c r="B5" s="20">
        <v>114004.0</v>
      </c>
      <c r="C5" s="20" t="s">
        <v>106</v>
      </c>
      <c r="D5" s="20" t="s">
        <v>141</v>
      </c>
      <c r="E5" s="21">
        <v>100.0</v>
      </c>
      <c r="F5" s="21">
        <v>120.0</v>
      </c>
      <c r="G5" s="21">
        <v>100.0</v>
      </c>
      <c r="H5" s="15" t="s">
        <v>10</v>
      </c>
      <c r="I5" s="37" t="s">
        <v>10</v>
      </c>
      <c r="J5" s="22">
        <f t="shared" si="1"/>
        <v>1</v>
      </c>
      <c r="K5" s="22">
        <f t="shared" si="2"/>
        <v>6</v>
      </c>
      <c r="L5" s="22">
        <f t="shared" si="3"/>
        <v>3</v>
      </c>
      <c r="M5" s="22">
        <f t="shared" si="4"/>
        <v>18</v>
      </c>
      <c r="O5" s="23" t="s">
        <v>18</v>
      </c>
      <c r="P5" s="23" t="s">
        <v>13</v>
      </c>
      <c r="S5" s="34"/>
      <c r="T5" s="35"/>
      <c r="V5" s="36"/>
    </row>
    <row r="6" ht="75.75" customHeight="1">
      <c r="A6" s="32" t="s">
        <v>140</v>
      </c>
      <c r="B6" s="20">
        <v>114004.0</v>
      </c>
      <c r="C6" s="20" t="s">
        <v>101</v>
      </c>
      <c r="D6" s="20" t="s">
        <v>142</v>
      </c>
      <c r="E6" s="21">
        <v>100.0</v>
      </c>
      <c r="F6" s="21">
        <v>120.0</v>
      </c>
      <c r="G6" s="21">
        <v>100.0</v>
      </c>
      <c r="H6" s="15" t="s">
        <v>10</v>
      </c>
      <c r="I6" s="37" t="s">
        <v>10</v>
      </c>
      <c r="J6" s="22">
        <f t="shared" si="1"/>
        <v>1</v>
      </c>
      <c r="K6" s="22">
        <f t="shared" si="2"/>
        <v>6</v>
      </c>
      <c r="L6" s="22">
        <f t="shared" si="3"/>
        <v>3</v>
      </c>
      <c r="M6" s="22">
        <f t="shared" si="4"/>
        <v>18</v>
      </c>
      <c r="O6" s="23" t="s">
        <v>18</v>
      </c>
      <c r="P6" s="23" t="s">
        <v>13</v>
      </c>
      <c r="S6" s="34"/>
      <c r="T6" s="35"/>
      <c r="V6" s="36"/>
    </row>
    <row r="7" ht="75.75" customHeight="1">
      <c r="A7" s="32" t="s">
        <v>140</v>
      </c>
      <c r="B7" s="20">
        <v>114002.0</v>
      </c>
      <c r="C7" s="20" t="s">
        <v>104</v>
      </c>
      <c r="D7" s="20" t="s">
        <v>142</v>
      </c>
      <c r="E7" s="21">
        <v>100.0</v>
      </c>
      <c r="F7" s="21">
        <v>120.0</v>
      </c>
      <c r="G7" s="21">
        <v>100.0</v>
      </c>
      <c r="H7" s="15" t="s">
        <v>10</v>
      </c>
      <c r="I7" s="37" t="s">
        <v>10</v>
      </c>
      <c r="J7" s="22">
        <f t="shared" si="1"/>
        <v>1</v>
      </c>
      <c r="K7" s="22">
        <f t="shared" si="2"/>
        <v>6</v>
      </c>
      <c r="L7" s="22">
        <f t="shared" si="3"/>
        <v>3</v>
      </c>
      <c r="M7" s="22">
        <f t="shared" si="4"/>
        <v>18</v>
      </c>
      <c r="O7" s="23" t="s">
        <v>18</v>
      </c>
      <c r="P7" s="23" t="s">
        <v>13</v>
      </c>
      <c r="S7" s="34"/>
      <c r="T7" s="35"/>
      <c r="V7" s="36"/>
    </row>
    <row r="8" ht="75.75" customHeight="1">
      <c r="A8" s="32" t="s">
        <v>140</v>
      </c>
      <c r="B8" s="20">
        <v>112425.0</v>
      </c>
      <c r="C8" s="20" t="s">
        <v>97</v>
      </c>
      <c r="D8" s="20" t="s">
        <v>143</v>
      </c>
      <c r="E8" s="21">
        <v>100.0</v>
      </c>
      <c r="F8" s="21">
        <v>120.0</v>
      </c>
      <c r="G8" s="21">
        <v>100.0</v>
      </c>
      <c r="H8" s="15" t="s">
        <v>10</v>
      </c>
      <c r="I8" s="37" t="s">
        <v>10</v>
      </c>
      <c r="J8" s="22">
        <f t="shared" si="1"/>
        <v>1</v>
      </c>
      <c r="K8" s="22">
        <f t="shared" si="2"/>
        <v>6</v>
      </c>
      <c r="L8" s="22">
        <f t="shared" si="3"/>
        <v>3</v>
      </c>
      <c r="M8" s="22">
        <f t="shared" si="4"/>
        <v>18</v>
      </c>
      <c r="O8" s="23" t="s">
        <v>18</v>
      </c>
      <c r="P8" s="23" t="s">
        <v>13</v>
      </c>
      <c r="S8" s="38"/>
      <c r="T8" s="39"/>
      <c r="U8" s="40"/>
      <c r="V8" s="41"/>
    </row>
    <row r="9" ht="75.75" customHeight="1">
      <c r="A9" s="32" t="s">
        <v>140</v>
      </c>
      <c r="B9" s="20">
        <v>112556.0</v>
      </c>
      <c r="C9" s="20" t="s">
        <v>111</v>
      </c>
      <c r="D9" s="20" t="s">
        <v>143</v>
      </c>
      <c r="E9" s="21">
        <v>100.0</v>
      </c>
      <c r="F9" s="21">
        <v>120.0</v>
      </c>
      <c r="G9" s="21">
        <v>100.0</v>
      </c>
      <c r="H9" s="15" t="s">
        <v>10</v>
      </c>
      <c r="I9" s="37" t="s">
        <v>10</v>
      </c>
      <c r="J9" s="22">
        <f t="shared" si="1"/>
        <v>1</v>
      </c>
      <c r="K9" s="22">
        <f t="shared" si="2"/>
        <v>6</v>
      </c>
      <c r="L9" s="22">
        <f t="shared" si="3"/>
        <v>3</v>
      </c>
      <c r="M9" s="22">
        <f t="shared" si="4"/>
        <v>18</v>
      </c>
      <c r="O9" s="23" t="s">
        <v>18</v>
      </c>
      <c r="P9" s="23" t="s">
        <v>13</v>
      </c>
      <c r="S9" s="24"/>
      <c r="T9" s="42" t="s">
        <v>144</v>
      </c>
      <c r="U9" s="26"/>
      <c r="V9" s="27"/>
    </row>
    <row r="10" ht="75.75" customHeight="1">
      <c r="A10" s="32" t="s">
        <v>140</v>
      </c>
      <c r="B10" s="20">
        <v>504683.0</v>
      </c>
      <c r="C10" s="20" t="s">
        <v>112</v>
      </c>
      <c r="D10" s="20" t="s">
        <v>143</v>
      </c>
      <c r="E10" s="21">
        <v>100.0</v>
      </c>
      <c r="F10" s="21">
        <v>120.0</v>
      </c>
      <c r="G10" s="21">
        <v>100.0</v>
      </c>
      <c r="H10" s="15" t="s">
        <v>10</v>
      </c>
      <c r="I10" s="37" t="s">
        <v>10</v>
      </c>
      <c r="J10" s="22">
        <f t="shared" si="1"/>
        <v>1</v>
      </c>
      <c r="K10" s="22">
        <f t="shared" si="2"/>
        <v>6</v>
      </c>
      <c r="L10" s="22">
        <f t="shared" si="3"/>
        <v>3</v>
      </c>
      <c r="M10" s="22">
        <f t="shared" si="4"/>
        <v>18</v>
      </c>
      <c r="O10" s="23" t="s">
        <v>18</v>
      </c>
      <c r="P10" s="23" t="s">
        <v>13</v>
      </c>
    </row>
    <row r="11" ht="75.75" customHeight="1">
      <c r="A11" s="32" t="s">
        <v>140</v>
      </c>
      <c r="B11" s="20">
        <v>517369.0</v>
      </c>
      <c r="C11" s="20" t="s">
        <v>113</v>
      </c>
      <c r="D11" s="20" t="s">
        <v>143</v>
      </c>
      <c r="E11" s="21">
        <v>100.0</v>
      </c>
      <c r="F11" s="21">
        <v>120.0</v>
      </c>
      <c r="G11" s="21">
        <v>100.0</v>
      </c>
      <c r="H11" s="15" t="s">
        <v>10</v>
      </c>
      <c r="I11" s="37" t="s">
        <v>10</v>
      </c>
      <c r="J11" s="22">
        <f t="shared" si="1"/>
        <v>1</v>
      </c>
      <c r="K11" s="22">
        <f t="shared" si="2"/>
        <v>6</v>
      </c>
      <c r="L11" s="22">
        <f t="shared" si="3"/>
        <v>3</v>
      </c>
      <c r="M11" s="22">
        <f t="shared" si="4"/>
        <v>18</v>
      </c>
      <c r="O11" s="23" t="s">
        <v>18</v>
      </c>
      <c r="P11" s="23" t="s">
        <v>13</v>
      </c>
    </row>
    <row r="12" ht="75.75" customHeight="1">
      <c r="A12" s="32" t="s">
        <v>30</v>
      </c>
      <c r="B12" s="20" t="s">
        <v>32</v>
      </c>
      <c r="C12" s="20" t="s">
        <v>145</v>
      </c>
      <c r="D12" s="20" t="s">
        <v>146</v>
      </c>
      <c r="E12" s="21">
        <v>97.0</v>
      </c>
      <c r="F12" s="21">
        <v>130.0</v>
      </c>
      <c r="G12" s="21">
        <v>120.0</v>
      </c>
      <c r="H12" s="15"/>
      <c r="I12" s="37" t="s">
        <v>10</v>
      </c>
      <c r="J12" s="22">
        <f t="shared" si="1"/>
        <v>1</v>
      </c>
      <c r="K12" s="22">
        <f t="shared" si="2"/>
        <v>6</v>
      </c>
      <c r="L12" s="22">
        <f t="shared" si="3"/>
        <v>3</v>
      </c>
      <c r="M12" s="22">
        <f t="shared" si="4"/>
        <v>18</v>
      </c>
    </row>
    <row r="13" ht="75.75" customHeight="1">
      <c r="A13" s="32" t="s">
        <v>30</v>
      </c>
      <c r="B13" s="20" t="s">
        <v>41</v>
      </c>
      <c r="C13" s="20" t="s">
        <v>147</v>
      </c>
      <c r="D13" s="20" t="s">
        <v>148</v>
      </c>
      <c r="E13" s="21">
        <v>97.0</v>
      </c>
      <c r="F13" s="21">
        <v>130.0</v>
      </c>
      <c r="G13" s="21">
        <v>120.0</v>
      </c>
      <c r="H13" s="15"/>
      <c r="I13" s="37" t="s">
        <v>10</v>
      </c>
      <c r="J13" s="22">
        <f t="shared" si="1"/>
        <v>1</v>
      </c>
      <c r="K13" s="22">
        <f t="shared" si="2"/>
        <v>6</v>
      </c>
      <c r="L13" s="22">
        <f t="shared" si="3"/>
        <v>3</v>
      </c>
      <c r="M13" s="22">
        <f t="shared" si="4"/>
        <v>18</v>
      </c>
    </row>
    <row r="14" ht="75.75" customHeight="1">
      <c r="A14" s="32" t="s">
        <v>149</v>
      </c>
      <c r="B14" s="20" t="s">
        <v>150</v>
      </c>
      <c r="C14" s="20"/>
      <c r="D14" s="20" t="s">
        <v>150</v>
      </c>
      <c r="E14" s="21">
        <v>100.0</v>
      </c>
      <c r="F14" s="21">
        <v>120.0</v>
      </c>
      <c r="G14" s="21">
        <v>120.0</v>
      </c>
      <c r="H14" s="15" t="s">
        <v>10</v>
      </c>
      <c r="I14" s="37" t="s">
        <v>10</v>
      </c>
      <c r="J14" s="22">
        <f t="shared" si="1"/>
        <v>1</v>
      </c>
      <c r="K14" s="22">
        <f t="shared" si="2"/>
        <v>6</v>
      </c>
      <c r="L14" s="22">
        <f t="shared" si="3"/>
        <v>3</v>
      </c>
      <c r="M14" s="22">
        <f t="shared" si="4"/>
        <v>18</v>
      </c>
      <c r="N14" s="23" t="s">
        <v>151</v>
      </c>
      <c r="O14" s="23" t="s">
        <v>18</v>
      </c>
      <c r="P14" s="23" t="s">
        <v>13</v>
      </c>
    </row>
    <row r="15" ht="75.75" customHeight="1">
      <c r="A15" s="32" t="s">
        <v>152</v>
      </c>
      <c r="B15" s="20" t="s">
        <v>153</v>
      </c>
      <c r="C15" s="20"/>
      <c r="D15" s="20" t="s">
        <v>153</v>
      </c>
      <c r="E15" s="21">
        <v>100.0</v>
      </c>
      <c r="F15" s="21">
        <v>120.0</v>
      </c>
      <c r="G15" s="21">
        <v>120.0</v>
      </c>
      <c r="H15" s="15" t="s">
        <v>10</v>
      </c>
      <c r="I15" s="37" t="s">
        <v>10</v>
      </c>
      <c r="J15" s="22">
        <f t="shared" si="1"/>
        <v>1</v>
      </c>
      <c r="K15" s="22">
        <f t="shared" si="2"/>
        <v>6</v>
      </c>
      <c r="L15" s="22">
        <f t="shared" si="3"/>
        <v>3</v>
      </c>
      <c r="M15" s="22">
        <f t="shared" si="4"/>
        <v>18</v>
      </c>
      <c r="N15" s="23" t="s">
        <v>154</v>
      </c>
      <c r="O15" s="23" t="s">
        <v>18</v>
      </c>
      <c r="P15" s="23" t="s">
        <v>13</v>
      </c>
    </row>
    <row r="16" ht="75.75" customHeight="1">
      <c r="A16" s="32" t="s">
        <v>140</v>
      </c>
      <c r="B16" s="20" t="s">
        <v>155</v>
      </c>
      <c r="C16" s="20" t="s">
        <v>156</v>
      </c>
      <c r="D16" s="20"/>
      <c r="E16" s="21">
        <v>97.0</v>
      </c>
      <c r="F16" s="21">
        <v>130.0</v>
      </c>
      <c r="G16" s="21">
        <v>120.0</v>
      </c>
      <c r="H16" s="15"/>
      <c r="I16" s="37" t="s">
        <v>10</v>
      </c>
      <c r="J16" s="22">
        <f t="shared" si="1"/>
        <v>1</v>
      </c>
      <c r="K16" s="22">
        <f t="shared" si="2"/>
        <v>6</v>
      </c>
      <c r="L16" s="22">
        <f t="shared" si="3"/>
        <v>3</v>
      </c>
      <c r="M16" s="22">
        <f t="shared" si="4"/>
        <v>18</v>
      </c>
    </row>
    <row r="17" ht="75.75" customHeight="1">
      <c r="A17" s="32" t="s">
        <v>140</v>
      </c>
      <c r="B17" s="20" t="s">
        <v>157</v>
      </c>
      <c r="C17" s="20" t="s">
        <v>158</v>
      </c>
      <c r="D17" s="20"/>
      <c r="E17" s="21">
        <v>97.0</v>
      </c>
      <c r="F17" s="21">
        <v>130.0</v>
      </c>
      <c r="G17" s="21">
        <v>120.0</v>
      </c>
      <c r="H17" s="15"/>
      <c r="I17" s="37" t="s">
        <v>10</v>
      </c>
      <c r="J17" s="22">
        <f t="shared" si="1"/>
        <v>1</v>
      </c>
      <c r="K17" s="22">
        <f t="shared" si="2"/>
        <v>6</v>
      </c>
      <c r="L17" s="22">
        <f t="shared" si="3"/>
        <v>3</v>
      </c>
      <c r="M17" s="22">
        <f t="shared" si="4"/>
        <v>18</v>
      </c>
    </row>
    <row r="18" ht="75.75" customHeight="1">
      <c r="A18" s="32" t="s">
        <v>159</v>
      </c>
      <c r="B18" s="20" t="s">
        <v>160</v>
      </c>
      <c r="C18" s="20" t="s">
        <v>161</v>
      </c>
      <c r="D18" s="20"/>
      <c r="E18" s="21">
        <v>80.0</v>
      </c>
      <c r="F18" s="21">
        <v>120.0</v>
      </c>
      <c r="G18" s="21">
        <v>120.0</v>
      </c>
      <c r="H18" s="15" t="s">
        <v>10</v>
      </c>
      <c r="I18" s="37" t="s">
        <v>10</v>
      </c>
      <c r="J18" s="22">
        <f t="shared" si="1"/>
        <v>1</v>
      </c>
      <c r="K18" s="22">
        <f t="shared" si="2"/>
        <v>7</v>
      </c>
      <c r="L18" s="22">
        <f t="shared" si="3"/>
        <v>3</v>
      </c>
      <c r="M18" s="22">
        <f t="shared" si="4"/>
        <v>21</v>
      </c>
      <c r="N18" s="23" t="s">
        <v>162</v>
      </c>
    </row>
    <row r="19" ht="75.75" customHeight="1">
      <c r="A19" s="32" t="s">
        <v>159</v>
      </c>
      <c r="B19" s="20" t="s">
        <v>163</v>
      </c>
      <c r="C19" s="20" t="s">
        <v>164</v>
      </c>
      <c r="D19" s="20"/>
      <c r="E19" s="21">
        <v>80.0</v>
      </c>
      <c r="F19" s="21">
        <v>120.0</v>
      </c>
      <c r="G19" s="21">
        <v>120.0</v>
      </c>
      <c r="H19" s="15"/>
      <c r="I19" s="37" t="s">
        <v>10</v>
      </c>
      <c r="J19" s="22">
        <f t="shared" si="1"/>
        <v>1</v>
      </c>
      <c r="K19" s="22">
        <f t="shared" si="2"/>
        <v>7</v>
      </c>
      <c r="L19" s="22">
        <f t="shared" si="3"/>
        <v>3</v>
      </c>
      <c r="M19" s="22">
        <f t="shared" si="4"/>
        <v>21</v>
      </c>
    </row>
    <row r="20" ht="75.75" customHeight="1">
      <c r="A20" s="32" t="s">
        <v>165</v>
      </c>
      <c r="B20" s="20" t="s">
        <v>160</v>
      </c>
      <c r="C20" s="20" t="s">
        <v>166</v>
      </c>
      <c r="D20" s="20"/>
      <c r="E20" s="21">
        <v>80.0</v>
      </c>
      <c r="F20" s="21">
        <v>120.0</v>
      </c>
      <c r="G20" s="21">
        <v>120.0</v>
      </c>
      <c r="H20" s="15"/>
      <c r="I20" s="37" t="s">
        <v>10</v>
      </c>
      <c r="J20" s="22">
        <f t="shared" si="1"/>
        <v>1</v>
      </c>
      <c r="K20" s="22">
        <f t="shared" si="2"/>
        <v>7</v>
      </c>
      <c r="L20" s="22">
        <f t="shared" si="3"/>
        <v>3</v>
      </c>
      <c r="M20" s="22">
        <f t="shared" si="4"/>
        <v>21</v>
      </c>
    </row>
    <row r="21" ht="75.75" customHeight="1">
      <c r="A21" s="32" t="s">
        <v>165</v>
      </c>
      <c r="B21" s="20" t="s">
        <v>163</v>
      </c>
      <c r="C21" s="20" t="s">
        <v>167</v>
      </c>
      <c r="D21" s="20"/>
      <c r="E21" s="21">
        <v>80.0</v>
      </c>
      <c r="F21" s="21">
        <v>120.0</v>
      </c>
      <c r="G21" s="21">
        <v>120.0</v>
      </c>
      <c r="H21" s="15"/>
      <c r="I21" s="37" t="s">
        <v>10</v>
      </c>
      <c r="J21" s="22">
        <f t="shared" si="1"/>
        <v>1</v>
      </c>
      <c r="K21" s="22">
        <f t="shared" si="2"/>
        <v>7</v>
      </c>
      <c r="L21" s="22">
        <f t="shared" si="3"/>
        <v>3</v>
      </c>
      <c r="M21" s="22">
        <f t="shared" si="4"/>
        <v>21</v>
      </c>
    </row>
    <row r="22" ht="75.75" customHeight="1">
      <c r="A22" s="32" t="s">
        <v>15</v>
      </c>
      <c r="B22" s="20" t="s">
        <v>168</v>
      </c>
      <c r="C22" s="20" t="s">
        <v>169</v>
      </c>
      <c r="D22" s="20"/>
      <c r="E22" s="21">
        <v>97.0</v>
      </c>
      <c r="F22" s="21">
        <v>113.0</v>
      </c>
      <c r="G22" s="21">
        <v>120.0</v>
      </c>
      <c r="H22" s="15"/>
      <c r="I22" s="37" t="s">
        <v>10</v>
      </c>
      <c r="J22" s="22">
        <f t="shared" si="1"/>
        <v>1</v>
      </c>
      <c r="K22" s="22">
        <f t="shared" si="2"/>
        <v>6</v>
      </c>
      <c r="L22" s="22">
        <f t="shared" si="3"/>
        <v>3</v>
      </c>
      <c r="M22" s="22">
        <f t="shared" si="4"/>
        <v>18</v>
      </c>
    </row>
    <row r="23" ht="75.75" customHeight="1">
      <c r="A23" s="32" t="s">
        <v>170</v>
      </c>
      <c r="B23" s="20" t="s">
        <v>160</v>
      </c>
      <c r="C23" s="20" t="s">
        <v>171</v>
      </c>
      <c r="D23" s="20"/>
      <c r="E23" s="21">
        <v>97.0</v>
      </c>
      <c r="F23" s="21">
        <v>113.0</v>
      </c>
      <c r="G23" s="21">
        <v>120.0</v>
      </c>
      <c r="H23" s="15"/>
      <c r="I23" s="37" t="s">
        <v>10</v>
      </c>
      <c r="J23" s="22">
        <f t="shared" si="1"/>
        <v>1</v>
      </c>
      <c r="K23" s="22">
        <f t="shared" si="2"/>
        <v>6</v>
      </c>
      <c r="L23" s="22">
        <f t="shared" si="3"/>
        <v>3</v>
      </c>
      <c r="M23" s="22">
        <f t="shared" si="4"/>
        <v>18</v>
      </c>
    </row>
    <row r="24" ht="75.75" customHeight="1">
      <c r="A24" s="32" t="s">
        <v>170</v>
      </c>
      <c r="B24" s="20" t="s">
        <v>172</v>
      </c>
      <c r="C24" s="20" t="s">
        <v>173</v>
      </c>
      <c r="D24" s="20"/>
      <c r="E24" s="21">
        <v>97.0</v>
      </c>
      <c r="F24" s="21">
        <v>113.0</v>
      </c>
      <c r="G24" s="21">
        <v>120.0</v>
      </c>
      <c r="H24" s="15"/>
      <c r="I24" s="37" t="s">
        <v>10</v>
      </c>
      <c r="J24" s="22">
        <f t="shared" si="1"/>
        <v>1</v>
      </c>
      <c r="K24" s="22">
        <f t="shared" si="2"/>
        <v>6</v>
      </c>
      <c r="L24" s="22">
        <f t="shared" si="3"/>
        <v>3</v>
      </c>
      <c r="M24" s="22">
        <f t="shared" si="4"/>
        <v>18</v>
      </c>
    </row>
    <row r="25" ht="75.75" customHeight="1">
      <c r="A25" s="32" t="s">
        <v>174</v>
      </c>
      <c r="B25" s="20" t="s">
        <v>175</v>
      </c>
      <c r="C25" s="20" t="s">
        <v>176</v>
      </c>
      <c r="D25" s="20"/>
      <c r="E25" s="21">
        <v>97.0</v>
      </c>
      <c r="F25" s="21">
        <v>113.0</v>
      </c>
      <c r="G25" s="21">
        <v>120.0</v>
      </c>
      <c r="H25" s="15"/>
      <c r="I25" s="37" t="s">
        <v>10</v>
      </c>
      <c r="J25" s="22">
        <f t="shared" si="1"/>
        <v>1</v>
      </c>
      <c r="K25" s="22">
        <f t="shared" si="2"/>
        <v>6</v>
      </c>
      <c r="L25" s="22">
        <f t="shared" si="3"/>
        <v>3</v>
      </c>
      <c r="M25" s="22">
        <f t="shared" si="4"/>
        <v>18</v>
      </c>
    </row>
    <row r="26" ht="75.75" customHeight="1">
      <c r="A26" s="32" t="s">
        <v>174</v>
      </c>
      <c r="B26" s="20" t="s">
        <v>177</v>
      </c>
      <c r="C26" s="20" t="s">
        <v>178</v>
      </c>
      <c r="D26" s="20"/>
      <c r="E26" s="21">
        <v>97.0</v>
      </c>
      <c r="F26" s="21">
        <v>113.0</v>
      </c>
      <c r="G26" s="21">
        <v>120.0</v>
      </c>
      <c r="H26" s="15"/>
      <c r="I26" s="37" t="s">
        <v>10</v>
      </c>
      <c r="J26" s="22">
        <f t="shared" si="1"/>
        <v>1</v>
      </c>
      <c r="K26" s="22">
        <f t="shared" si="2"/>
        <v>6</v>
      </c>
      <c r="L26" s="22">
        <f t="shared" si="3"/>
        <v>3</v>
      </c>
      <c r="M26" s="22">
        <f t="shared" si="4"/>
        <v>18</v>
      </c>
    </row>
    <row r="27" ht="75.75" customHeight="1">
      <c r="A27" s="32" t="s">
        <v>179</v>
      </c>
      <c r="B27" s="20" t="s">
        <v>172</v>
      </c>
      <c r="C27" s="20" t="s">
        <v>180</v>
      </c>
      <c r="D27" s="20"/>
      <c r="E27" s="21">
        <v>97.0</v>
      </c>
      <c r="F27" s="21">
        <v>113.0</v>
      </c>
      <c r="G27" s="21">
        <v>120.0</v>
      </c>
      <c r="H27" s="15"/>
      <c r="I27" s="37" t="s">
        <v>10</v>
      </c>
      <c r="J27" s="22">
        <f t="shared" si="1"/>
        <v>1</v>
      </c>
      <c r="K27" s="22">
        <f t="shared" si="2"/>
        <v>6</v>
      </c>
      <c r="L27" s="22">
        <f t="shared" si="3"/>
        <v>3</v>
      </c>
      <c r="M27" s="22">
        <f t="shared" si="4"/>
        <v>18</v>
      </c>
    </row>
    <row r="28" ht="75.75" customHeight="1">
      <c r="A28" s="32" t="s">
        <v>21</v>
      </c>
      <c r="B28" s="20" t="s">
        <v>181</v>
      </c>
      <c r="C28" s="20" t="s">
        <v>182</v>
      </c>
      <c r="D28" s="20"/>
      <c r="E28" s="21">
        <v>97.0</v>
      </c>
      <c r="F28" s="21">
        <v>113.0</v>
      </c>
      <c r="G28" s="21">
        <v>120.0</v>
      </c>
      <c r="H28" s="15"/>
      <c r="I28" s="37" t="s">
        <v>10</v>
      </c>
      <c r="J28" s="22">
        <f t="shared" si="1"/>
        <v>1</v>
      </c>
      <c r="K28" s="22">
        <f t="shared" si="2"/>
        <v>6</v>
      </c>
      <c r="L28" s="22">
        <f t="shared" si="3"/>
        <v>3</v>
      </c>
      <c r="M28" s="22">
        <f t="shared" si="4"/>
        <v>18</v>
      </c>
    </row>
    <row r="29" ht="75.75" customHeight="1">
      <c r="A29" s="32" t="s">
        <v>133</v>
      </c>
      <c r="B29" s="20" t="s">
        <v>183</v>
      </c>
      <c r="C29" s="20" t="s">
        <v>184</v>
      </c>
      <c r="D29" s="20"/>
      <c r="E29" s="21">
        <v>97.0</v>
      </c>
      <c r="F29" s="21">
        <v>113.0</v>
      </c>
      <c r="G29" s="21">
        <v>120.0</v>
      </c>
      <c r="H29" s="15"/>
      <c r="I29" s="37" t="s">
        <v>10</v>
      </c>
      <c r="J29" s="22">
        <f t="shared" si="1"/>
        <v>1</v>
      </c>
      <c r="K29" s="22">
        <f t="shared" si="2"/>
        <v>6</v>
      </c>
      <c r="L29" s="22">
        <f t="shared" si="3"/>
        <v>3</v>
      </c>
      <c r="M29" s="22">
        <f t="shared" si="4"/>
        <v>18</v>
      </c>
    </row>
    <row r="30" ht="75.75" customHeight="1">
      <c r="A30" s="32" t="s">
        <v>133</v>
      </c>
      <c r="B30" s="20" t="s">
        <v>185</v>
      </c>
      <c r="C30" s="20" t="s">
        <v>186</v>
      </c>
      <c r="D30" s="20"/>
      <c r="E30" s="21">
        <v>97.0</v>
      </c>
      <c r="F30" s="21">
        <v>113.0</v>
      </c>
      <c r="G30" s="21">
        <v>120.0</v>
      </c>
      <c r="H30" s="15"/>
      <c r="I30" s="37" t="s">
        <v>10</v>
      </c>
      <c r="J30" s="22">
        <f t="shared" si="1"/>
        <v>1</v>
      </c>
      <c r="K30" s="22">
        <f t="shared" si="2"/>
        <v>6</v>
      </c>
      <c r="L30" s="22">
        <f t="shared" si="3"/>
        <v>3</v>
      </c>
      <c r="M30" s="22">
        <f t="shared" si="4"/>
        <v>18</v>
      </c>
    </row>
    <row r="31" ht="75.75" customHeight="1">
      <c r="A31" s="32" t="s">
        <v>133</v>
      </c>
      <c r="B31" s="20" t="s">
        <v>187</v>
      </c>
      <c r="C31" s="20" t="s">
        <v>188</v>
      </c>
      <c r="D31" s="20"/>
      <c r="E31" s="21">
        <v>97.0</v>
      </c>
      <c r="F31" s="21">
        <v>113.0</v>
      </c>
      <c r="G31" s="21">
        <v>120.0</v>
      </c>
      <c r="H31" s="15"/>
      <c r="I31" s="37" t="s">
        <v>10</v>
      </c>
      <c r="J31" s="22">
        <f t="shared" si="1"/>
        <v>1</v>
      </c>
      <c r="K31" s="22">
        <f t="shared" si="2"/>
        <v>6</v>
      </c>
      <c r="L31" s="22">
        <f t="shared" si="3"/>
        <v>3</v>
      </c>
      <c r="M31" s="22">
        <f t="shared" si="4"/>
        <v>18</v>
      </c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</row>
  </sheetData>
  <mergeCells count="4">
    <mergeCell ref="T2:V2"/>
    <mergeCell ref="S3:S8"/>
    <mergeCell ref="T3:V8"/>
    <mergeCell ref="T9:V9"/>
  </mergeCells>
  <printOptions/>
  <pageMargins bottom="0.7480314960629921" footer="0.0" header="0.0" left="0.7086614173228347" right="0.7086614173228347" top="0.7480314960629921"/>
  <pageSetup paperSize="9" orientation="landscape"/>
  <rowBreaks count="1" manualBreakCount="1">
    <brk id="10" man="1"/>
  </rowBreaks>
  <colBreaks count="1" manualBreakCount="1">
    <brk id="23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63"/>
    <col customWidth="1" min="5" max="5" width="14.38"/>
    <col customWidth="1" min="6" max="6" width="37.25"/>
    <col customWidth="1" min="7" max="7" width="13.75"/>
    <col customWidth="1" min="8" max="9" width="23.25"/>
    <col customWidth="1" min="10" max="10" width="8.63"/>
    <col customWidth="1" min="11" max="11" width="7.63"/>
    <col customWidth="1" min="12" max="12" width="25.0"/>
    <col customWidth="1" min="13" max="13" width="8.63"/>
    <col customWidth="1" min="14" max="17" width="15.63"/>
    <col customWidth="1" min="18" max="28" width="8.63"/>
  </cols>
  <sheetData>
    <row r="2">
      <c r="E2" s="43" t="s">
        <v>189</v>
      </c>
      <c r="F2" s="43" t="s">
        <v>190</v>
      </c>
      <c r="G2" s="43" t="s">
        <v>191</v>
      </c>
      <c r="H2" s="44" t="s">
        <v>5</v>
      </c>
      <c r="I2" s="44"/>
      <c r="L2" s="44" t="s">
        <v>5</v>
      </c>
      <c r="N2" s="23" t="s">
        <v>192</v>
      </c>
      <c r="O2" s="23" t="s">
        <v>192</v>
      </c>
      <c r="P2" s="23" t="s">
        <v>192</v>
      </c>
      <c r="Q2" s="23" t="s">
        <v>192</v>
      </c>
      <c r="T2" s="23" t="s">
        <v>193</v>
      </c>
      <c r="U2" s="23" t="s">
        <v>194</v>
      </c>
      <c r="V2" s="23" t="s">
        <v>195</v>
      </c>
      <c r="W2" s="23" t="s">
        <v>196</v>
      </c>
      <c r="X2" s="23" t="s">
        <v>197</v>
      </c>
      <c r="Y2" s="23" t="s">
        <v>198</v>
      </c>
      <c r="Z2" s="23" t="s">
        <v>199</v>
      </c>
      <c r="AA2" s="23" t="s">
        <v>200</v>
      </c>
      <c r="AB2" s="23" t="s">
        <v>201</v>
      </c>
    </row>
    <row r="3">
      <c r="E3" s="45" t="s">
        <v>92</v>
      </c>
      <c r="F3" s="45" t="s">
        <v>202</v>
      </c>
      <c r="G3" s="45" t="s">
        <v>91</v>
      </c>
      <c r="H3" s="23" t="s">
        <v>93</v>
      </c>
      <c r="J3" s="23" t="str">
        <f t="shared" ref="J3:J10" si="1">XLOOKUP(L3,H:H,G:G,"",0,1)</f>
        <v>AM</v>
      </c>
      <c r="K3" s="23" t="str">
        <f t="shared" ref="K3:K10" si="2">XLOOKUP(L3,H:H,E:E,"",0,1)</f>
        <v>8797E</v>
      </c>
      <c r="L3" s="23" t="s">
        <v>11</v>
      </c>
      <c r="M3" s="23" t="s">
        <v>10</v>
      </c>
      <c r="N3" s="23" t="s">
        <v>203</v>
      </c>
      <c r="O3" s="23" t="s">
        <v>204</v>
      </c>
      <c r="P3" s="23" t="s">
        <v>205</v>
      </c>
      <c r="T3" s="23" t="s">
        <v>206</v>
      </c>
      <c r="U3" s="23" t="s">
        <v>42</v>
      </c>
      <c r="V3" s="23" t="s">
        <v>207</v>
      </c>
      <c r="W3" s="23" t="s">
        <v>44</v>
      </c>
      <c r="Y3" s="23" t="s">
        <v>208</v>
      </c>
      <c r="Z3" s="23">
        <v>0.013334</v>
      </c>
      <c r="AA3" s="23" t="s">
        <v>209</v>
      </c>
      <c r="AB3" s="23" t="s">
        <v>210</v>
      </c>
    </row>
    <row r="4">
      <c r="E4" s="46" t="s">
        <v>96</v>
      </c>
      <c r="F4" s="46" t="s">
        <v>211</v>
      </c>
      <c r="G4" s="46" t="s">
        <v>91</v>
      </c>
      <c r="H4" s="23" t="s">
        <v>98</v>
      </c>
      <c r="J4" s="23" t="str">
        <f t="shared" si="1"/>
        <v>AUDI</v>
      </c>
      <c r="K4" s="23" t="str">
        <f t="shared" si="2"/>
        <v>8824E</v>
      </c>
      <c r="L4" s="23" t="s">
        <v>17</v>
      </c>
      <c r="M4" s="23" t="s">
        <v>10</v>
      </c>
      <c r="N4" s="23" t="s">
        <v>212</v>
      </c>
      <c r="O4" s="23" t="s">
        <v>204</v>
      </c>
      <c r="P4" s="23" t="s">
        <v>205</v>
      </c>
      <c r="T4" s="23" t="s">
        <v>213</v>
      </c>
      <c r="U4" s="23" t="s">
        <v>42</v>
      </c>
      <c r="V4" s="23" t="s">
        <v>214</v>
      </c>
      <c r="W4" s="23" t="s">
        <v>215</v>
      </c>
      <c r="Y4" s="23" t="s">
        <v>216</v>
      </c>
      <c r="Z4" s="23">
        <v>0.016666</v>
      </c>
      <c r="AA4" s="23" t="s">
        <v>209</v>
      </c>
      <c r="AB4" s="23" t="s">
        <v>210</v>
      </c>
    </row>
    <row r="5">
      <c r="E5" s="45" t="s">
        <v>100</v>
      </c>
      <c r="F5" s="45" t="s">
        <v>202</v>
      </c>
      <c r="G5" s="45" t="s">
        <v>91</v>
      </c>
      <c r="H5" s="23" t="s">
        <v>102</v>
      </c>
      <c r="J5" s="23" t="str">
        <f t="shared" si="1"/>
        <v>BMW</v>
      </c>
      <c r="K5" s="23" t="str">
        <f t="shared" si="2"/>
        <v>BS011F</v>
      </c>
      <c r="L5" s="23" t="s">
        <v>23</v>
      </c>
      <c r="M5" s="23" t="s">
        <v>55</v>
      </c>
      <c r="T5" s="23" t="s">
        <v>217</v>
      </c>
      <c r="U5" s="23" t="s">
        <v>218</v>
      </c>
      <c r="V5" s="23" t="s">
        <v>219</v>
      </c>
      <c r="W5" s="23" t="s">
        <v>49</v>
      </c>
      <c r="Y5" s="23" t="s">
        <v>220</v>
      </c>
      <c r="Z5" s="23">
        <v>0.013334</v>
      </c>
      <c r="AA5" s="23" t="s">
        <v>209</v>
      </c>
      <c r="AB5" s="23" t="s">
        <v>210</v>
      </c>
    </row>
    <row r="6">
      <c r="E6" s="46" t="s">
        <v>221</v>
      </c>
      <c r="F6" s="46" t="s">
        <v>202</v>
      </c>
      <c r="G6" s="46" t="s">
        <v>91</v>
      </c>
      <c r="H6" s="23" t="s">
        <v>93</v>
      </c>
      <c r="J6" s="23" t="str">
        <f t="shared" si="1"/>
        <v>BMW</v>
      </c>
      <c r="K6" s="23" t="str">
        <f t="shared" si="2"/>
        <v>BS011J</v>
      </c>
      <c r="L6" s="23" t="s">
        <v>26</v>
      </c>
      <c r="M6" s="23" t="s">
        <v>10</v>
      </c>
      <c r="N6" s="23" t="s">
        <v>203</v>
      </c>
      <c r="O6" s="23" t="s">
        <v>204</v>
      </c>
      <c r="P6" s="23" t="s">
        <v>205</v>
      </c>
      <c r="T6" s="23" t="s">
        <v>222</v>
      </c>
      <c r="U6" s="23" t="s">
        <v>218</v>
      </c>
      <c r="V6" s="23" t="s">
        <v>219</v>
      </c>
      <c r="W6" s="23" t="s">
        <v>49</v>
      </c>
      <c r="Y6" s="23" t="s">
        <v>220</v>
      </c>
      <c r="Z6" s="23">
        <v>0.013334</v>
      </c>
      <c r="AA6" s="23" t="s">
        <v>209</v>
      </c>
      <c r="AB6" s="23" t="s">
        <v>210</v>
      </c>
    </row>
    <row r="7">
      <c r="E7" s="45" t="s">
        <v>84</v>
      </c>
      <c r="F7" s="45" t="s">
        <v>223</v>
      </c>
      <c r="G7" s="45" t="s">
        <v>83</v>
      </c>
      <c r="H7" s="23" t="s">
        <v>85</v>
      </c>
      <c r="J7" s="23" t="str">
        <f t="shared" si="1"/>
        <v>BMW</v>
      </c>
      <c r="K7" s="23" t="str">
        <f t="shared" si="2"/>
        <v>BS010J</v>
      </c>
      <c r="L7" s="23" t="s">
        <v>28</v>
      </c>
      <c r="M7" s="23" t="s">
        <v>10</v>
      </c>
      <c r="T7" s="23" t="s">
        <v>224</v>
      </c>
      <c r="U7" s="23" t="s">
        <v>83</v>
      </c>
      <c r="V7" s="23" t="s">
        <v>225</v>
      </c>
      <c r="W7" s="23" t="s">
        <v>215</v>
      </c>
      <c r="Y7" s="23" t="s">
        <v>216</v>
      </c>
      <c r="Z7" s="23">
        <v>0.013888</v>
      </c>
      <c r="AA7" s="23" t="s">
        <v>209</v>
      </c>
      <c r="AB7" s="23" t="s">
        <v>210</v>
      </c>
    </row>
    <row r="8">
      <c r="E8" s="46" t="s">
        <v>86</v>
      </c>
      <c r="F8" s="46" t="s">
        <v>223</v>
      </c>
      <c r="G8" s="46" t="s">
        <v>83</v>
      </c>
      <c r="H8" s="23" t="s">
        <v>87</v>
      </c>
      <c r="J8" s="23" t="str">
        <f t="shared" si="1"/>
        <v>DAG</v>
      </c>
      <c r="K8" s="23" t="str">
        <f t="shared" si="2"/>
        <v>1749U</v>
      </c>
      <c r="L8" s="23" t="s">
        <v>32</v>
      </c>
      <c r="M8" s="23" t="s">
        <v>10</v>
      </c>
      <c r="N8" s="23" t="s">
        <v>226</v>
      </c>
      <c r="O8" s="23" t="s">
        <v>227</v>
      </c>
      <c r="P8" s="23" t="s">
        <v>204</v>
      </c>
      <c r="Q8" s="23" t="s">
        <v>205</v>
      </c>
      <c r="T8" s="23" t="s">
        <v>48</v>
      </c>
      <c r="U8" s="23" t="s">
        <v>42</v>
      </c>
      <c r="V8" s="23" t="s">
        <v>228</v>
      </c>
      <c r="W8" s="23" t="s">
        <v>49</v>
      </c>
      <c r="Y8" s="23" t="s">
        <v>220</v>
      </c>
      <c r="Z8" s="23">
        <v>0.013334</v>
      </c>
      <c r="AA8" s="23" t="s">
        <v>209</v>
      </c>
      <c r="AB8" s="23" t="s">
        <v>210</v>
      </c>
    </row>
    <row r="9">
      <c r="E9" s="45" t="s">
        <v>229</v>
      </c>
      <c r="F9" s="45" t="s">
        <v>230</v>
      </c>
      <c r="G9" s="45" t="s">
        <v>83</v>
      </c>
      <c r="H9" s="23" t="s">
        <v>87</v>
      </c>
      <c r="J9" s="23" t="str">
        <f t="shared" si="1"/>
        <v>DAG</v>
      </c>
      <c r="K9" s="23" t="str">
        <f t="shared" si="2"/>
        <v>1749P</v>
      </c>
      <c r="L9" s="23" t="s">
        <v>38</v>
      </c>
      <c r="M9" s="23" t="s">
        <v>55</v>
      </c>
      <c r="T9" s="23" t="s">
        <v>231</v>
      </c>
      <c r="U9" s="23" t="s">
        <v>42</v>
      </c>
      <c r="V9" s="23" t="s">
        <v>219</v>
      </c>
      <c r="W9" s="23" t="s">
        <v>49</v>
      </c>
      <c r="Y9" s="23" t="s">
        <v>220</v>
      </c>
      <c r="Z9" s="23">
        <v>0.013334</v>
      </c>
      <c r="AA9" s="23" t="s">
        <v>209</v>
      </c>
      <c r="AB9" s="23" t="s">
        <v>210</v>
      </c>
    </row>
    <row r="10">
      <c r="E10" s="46" t="s">
        <v>232</v>
      </c>
      <c r="F10" s="46" t="s">
        <v>233</v>
      </c>
      <c r="G10" s="46" t="s">
        <v>83</v>
      </c>
      <c r="H10" s="23" t="s">
        <v>87</v>
      </c>
      <c r="J10" s="23" t="str">
        <f t="shared" si="1"/>
        <v>DAG</v>
      </c>
      <c r="K10" s="23" t="str">
        <f t="shared" si="2"/>
        <v>1785M</v>
      </c>
      <c r="L10" s="23" t="s">
        <v>41</v>
      </c>
      <c r="M10" s="23" t="s">
        <v>10</v>
      </c>
      <c r="T10" s="23" t="s">
        <v>234</v>
      </c>
      <c r="U10" s="23" t="s">
        <v>42</v>
      </c>
      <c r="V10" s="23" t="s">
        <v>219</v>
      </c>
      <c r="W10" s="23" t="s">
        <v>49</v>
      </c>
      <c r="Y10" s="23" t="s">
        <v>220</v>
      </c>
      <c r="Z10" s="23">
        <v>0.013334</v>
      </c>
      <c r="AA10" s="23" t="s">
        <v>209</v>
      </c>
      <c r="AB10" s="23" t="s">
        <v>210</v>
      </c>
    </row>
    <row r="11">
      <c r="E11" s="45" t="s">
        <v>235</v>
      </c>
      <c r="F11" s="45" t="s">
        <v>236</v>
      </c>
      <c r="G11" s="45" t="s">
        <v>83</v>
      </c>
      <c r="H11" s="23" t="s">
        <v>87</v>
      </c>
      <c r="T11" s="23" t="s">
        <v>237</v>
      </c>
      <c r="U11" s="23" t="s">
        <v>238</v>
      </c>
      <c r="V11" s="23" t="s">
        <v>239</v>
      </c>
      <c r="W11" s="23" t="s">
        <v>44</v>
      </c>
      <c r="X11" s="23"/>
      <c r="Y11" s="23" t="s">
        <v>208</v>
      </c>
      <c r="Z11" s="23">
        <v>0.013334</v>
      </c>
      <c r="AA11" s="23" t="s">
        <v>209</v>
      </c>
      <c r="AB11" s="23" t="s">
        <v>210</v>
      </c>
    </row>
    <row r="12">
      <c r="E12" s="46" t="s">
        <v>43</v>
      </c>
      <c r="F12" s="46" t="s">
        <v>240</v>
      </c>
      <c r="G12" s="46" t="s">
        <v>42</v>
      </c>
      <c r="H12" s="23" t="s">
        <v>44</v>
      </c>
      <c r="J12" s="23" t="str">
        <f t="shared" ref="J12:J28" si="3">XLOOKUP(L12,H:H,G:G,"",0,1)</f>
        <v>JLR</v>
      </c>
      <c r="K12" s="23" t="str">
        <f t="shared" ref="K12:K28" si="4">XLOOKUP(L12,H:H,E:E,"",0,1)</f>
        <v>8776E</v>
      </c>
      <c r="L12" s="23" t="s">
        <v>44</v>
      </c>
      <c r="M12" s="23" t="s">
        <v>10</v>
      </c>
      <c r="N12" s="23" t="s">
        <v>203</v>
      </c>
      <c r="O12" s="23" t="s">
        <v>204</v>
      </c>
      <c r="P12" s="23" t="s">
        <v>205</v>
      </c>
      <c r="T12" s="23" t="s">
        <v>241</v>
      </c>
      <c r="U12" s="23" t="s">
        <v>42</v>
      </c>
      <c r="V12" s="23" t="s">
        <v>242</v>
      </c>
      <c r="W12" s="23" t="s">
        <v>49</v>
      </c>
      <c r="Y12" s="23" t="s">
        <v>220</v>
      </c>
      <c r="Z12" s="23">
        <v>0.013334</v>
      </c>
      <c r="AA12" s="23" t="s">
        <v>209</v>
      </c>
      <c r="AB12" s="23" t="s">
        <v>210</v>
      </c>
    </row>
    <row r="13">
      <c r="E13" s="45" t="s">
        <v>243</v>
      </c>
      <c r="F13" s="45" t="s">
        <v>240</v>
      </c>
      <c r="G13" s="45" t="s">
        <v>42</v>
      </c>
      <c r="H13" s="23" t="s">
        <v>44</v>
      </c>
      <c r="J13" s="23" t="str">
        <f t="shared" si="3"/>
        <v>JLR</v>
      </c>
      <c r="K13" s="23" t="str">
        <f t="shared" si="4"/>
        <v>1694E</v>
      </c>
      <c r="L13" s="23" t="s">
        <v>49</v>
      </c>
      <c r="M13" s="23" t="s">
        <v>10</v>
      </c>
      <c r="N13" s="23" t="s">
        <v>203</v>
      </c>
      <c r="O13" s="23" t="s">
        <v>204</v>
      </c>
      <c r="P13" s="23" t="s">
        <v>205</v>
      </c>
      <c r="T13" s="23" t="s">
        <v>244</v>
      </c>
      <c r="U13" s="23" t="s">
        <v>238</v>
      </c>
      <c r="V13" s="23" t="s">
        <v>239</v>
      </c>
      <c r="W13" s="23" t="s">
        <v>49</v>
      </c>
      <c r="Y13" s="23" t="s">
        <v>220</v>
      </c>
      <c r="Z13" s="23">
        <v>0.013334</v>
      </c>
      <c r="AA13" s="23" t="s">
        <v>209</v>
      </c>
      <c r="AB13" s="23" t="s">
        <v>210</v>
      </c>
    </row>
    <row r="14">
      <c r="E14" s="46" t="s">
        <v>237</v>
      </c>
      <c r="F14" s="46" t="s">
        <v>239</v>
      </c>
      <c r="G14" s="46" t="s">
        <v>238</v>
      </c>
      <c r="H14" s="23" t="s">
        <v>44</v>
      </c>
      <c r="J14" s="23" t="str">
        <f t="shared" si="3"/>
        <v>OPEL</v>
      </c>
      <c r="K14" s="23" t="str">
        <f t="shared" si="4"/>
        <v>8669R</v>
      </c>
      <c r="L14" s="23" t="s">
        <v>56</v>
      </c>
      <c r="M14" s="23" t="s">
        <v>55</v>
      </c>
      <c r="T14" s="23" t="s">
        <v>31</v>
      </c>
      <c r="U14" s="23" t="s">
        <v>30</v>
      </c>
      <c r="V14" s="23" t="s">
        <v>245</v>
      </c>
      <c r="W14" s="23" t="s">
        <v>32</v>
      </c>
      <c r="Y14" s="23" t="s">
        <v>246</v>
      </c>
      <c r="Z14" s="23">
        <v>0.015625</v>
      </c>
      <c r="AA14" s="23" t="s">
        <v>209</v>
      </c>
      <c r="AB14" s="23" t="s">
        <v>210</v>
      </c>
    </row>
    <row r="15">
      <c r="E15" s="45" t="s">
        <v>9</v>
      </c>
      <c r="F15" s="45" t="s">
        <v>247</v>
      </c>
      <c r="G15" s="45" t="s">
        <v>8</v>
      </c>
      <c r="H15" s="23" t="s">
        <v>11</v>
      </c>
      <c r="J15" s="23" t="str">
        <f t="shared" si="3"/>
        <v>POR/B</v>
      </c>
      <c r="K15" s="23" t="str">
        <f t="shared" si="4"/>
        <v>BS047F</v>
      </c>
      <c r="L15" s="23" t="s">
        <v>59</v>
      </c>
      <c r="M15" s="23" t="s">
        <v>55</v>
      </c>
      <c r="T15" s="23" t="s">
        <v>248</v>
      </c>
      <c r="U15" s="23" t="s">
        <v>218</v>
      </c>
      <c r="V15" s="23" t="s">
        <v>249</v>
      </c>
      <c r="W15" s="23" t="s">
        <v>250</v>
      </c>
      <c r="Y15" s="23" t="s">
        <v>251</v>
      </c>
      <c r="Z15" s="23">
        <v>0.016667</v>
      </c>
      <c r="AA15" s="23" t="s">
        <v>209</v>
      </c>
      <c r="AB15" s="23" t="s">
        <v>210</v>
      </c>
    </row>
    <row r="16">
      <c r="E16" s="46" t="s">
        <v>252</v>
      </c>
      <c r="F16" s="46" t="s">
        <v>253</v>
      </c>
      <c r="G16" s="46" t="s">
        <v>83</v>
      </c>
      <c r="H16" s="23" t="s">
        <v>87</v>
      </c>
      <c r="J16" s="23" t="str">
        <f t="shared" si="3"/>
        <v>POR/B</v>
      </c>
      <c r="K16" s="23" t="str">
        <f t="shared" si="4"/>
        <v>BS049Q</v>
      </c>
      <c r="L16" s="23" t="s">
        <v>62</v>
      </c>
      <c r="M16" s="23" t="s">
        <v>254</v>
      </c>
      <c r="T16" s="23" t="s">
        <v>255</v>
      </c>
      <c r="U16" s="23" t="s">
        <v>83</v>
      </c>
      <c r="V16" s="23" t="s">
        <v>256</v>
      </c>
      <c r="W16" s="23" t="s">
        <v>257</v>
      </c>
      <c r="Y16" s="23" t="s">
        <v>258</v>
      </c>
      <c r="Z16" s="23">
        <v>0.013889</v>
      </c>
      <c r="AA16" s="23" t="s">
        <v>209</v>
      </c>
      <c r="AB16" s="23" t="s">
        <v>210</v>
      </c>
    </row>
    <row r="17">
      <c r="E17" s="45" t="s">
        <v>259</v>
      </c>
      <c r="F17" s="45" t="s">
        <v>249</v>
      </c>
      <c r="G17" s="45" t="s">
        <v>83</v>
      </c>
      <c r="H17" s="23" t="s">
        <v>87</v>
      </c>
      <c r="J17" s="23" t="str">
        <f t="shared" si="3"/>
        <v>PSA</v>
      </c>
      <c r="K17" s="23" t="str">
        <f t="shared" si="4"/>
        <v>BV011J</v>
      </c>
      <c r="L17" s="23" t="s">
        <v>260</v>
      </c>
      <c r="M17" s="23" t="s">
        <v>55</v>
      </c>
      <c r="T17" s="23" t="s">
        <v>261</v>
      </c>
      <c r="U17" s="23" t="s">
        <v>30</v>
      </c>
      <c r="V17" s="23" t="s">
        <v>262</v>
      </c>
      <c r="W17" s="23" t="s">
        <v>32</v>
      </c>
      <c r="Y17" s="23" t="s">
        <v>246</v>
      </c>
      <c r="Z17" s="23">
        <v>0.015625</v>
      </c>
      <c r="AA17" s="23" t="s">
        <v>209</v>
      </c>
      <c r="AB17" s="23" t="s">
        <v>210</v>
      </c>
    </row>
    <row r="18">
      <c r="E18" s="46" t="s">
        <v>48</v>
      </c>
      <c r="F18" s="46" t="s">
        <v>228</v>
      </c>
      <c r="G18" s="46" t="s">
        <v>42</v>
      </c>
      <c r="H18" s="23" t="s">
        <v>49</v>
      </c>
      <c r="J18" s="23" t="str">
        <f t="shared" si="3"/>
        <v>RENO</v>
      </c>
      <c r="K18" s="23" t="str">
        <f t="shared" si="4"/>
        <v>8458R</v>
      </c>
      <c r="L18" s="23" t="s">
        <v>69</v>
      </c>
      <c r="M18" s="23" t="s">
        <v>10</v>
      </c>
      <c r="N18" s="23" t="s">
        <v>66</v>
      </c>
      <c r="O18" s="23" t="s">
        <v>263</v>
      </c>
      <c r="P18" s="23" t="s">
        <v>204</v>
      </c>
      <c r="Q18" s="23" t="s">
        <v>205</v>
      </c>
      <c r="T18" s="23" t="s">
        <v>40</v>
      </c>
      <c r="U18" s="23" t="s">
        <v>30</v>
      </c>
      <c r="V18" s="23" t="s">
        <v>264</v>
      </c>
      <c r="W18" s="23" t="s">
        <v>41</v>
      </c>
      <c r="Y18" s="23" t="s">
        <v>246</v>
      </c>
      <c r="Z18" s="23">
        <v>0.0125</v>
      </c>
      <c r="AA18" s="23" t="s">
        <v>209</v>
      </c>
      <c r="AB18" s="23" t="s">
        <v>210</v>
      </c>
    </row>
    <row r="19">
      <c r="E19" s="45" t="s">
        <v>241</v>
      </c>
      <c r="F19" s="45" t="s">
        <v>242</v>
      </c>
      <c r="G19" s="45" t="s">
        <v>42</v>
      </c>
      <c r="H19" s="23" t="s">
        <v>49</v>
      </c>
      <c r="J19" s="23" t="str">
        <f t="shared" si="3"/>
        <v>RENO</v>
      </c>
      <c r="K19" s="23" t="str">
        <f t="shared" si="4"/>
        <v>8894U</v>
      </c>
      <c r="L19" s="23" t="s">
        <v>74</v>
      </c>
      <c r="M19" s="23" t="s">
        <v>10</v>
      </c>
      <c r="N19" s="23" t="s">
        <v>66</v>
      </c>
      <c r="O19" s="23" t="s">
        <v>263</v>
      </c>
      <c r="P19" s="23" t="s">
        <v>204</v>
      </c>
      <c r="Q19" s="23" t="s">
        <v>205</v>
      </c>
      <c r="T19" s="23" t="s">
        <v>265</v>
      </c>
      <c r="U19" s="23" t="s">
        <v>30</v>
      </c>
      <c r="V19" s="23" t="s">
        <v>266</v>
      </c>
      <c r="W19" s="23" t="s">
        <v>32</v>
      </c>
      <c r="Y19" s="23" t="s">
        <v>246</v>
      </c>
      <c r="Z19" s="23">
        <v>0.015625</v>
      </c>
      <c r="AA19" s="23" t="s">
        <v>209</v>
      </c>
      <c r="AB19" s="23" t="s">
        <v>210</v>
      </c>
    </row>
    <row r="20">
      <c r="E20" s="46" t="s">
        <v>248</v>
      </c>
      <c r="F20" s="46" t="s">
        <v>249</v>
      </c>
      <c r="G20" s="46" t="s">
        <v>218</v>
      </c>
      <c r="H20" s="23" t="s">
        <v>250</v>
      </c>
      <c r="J20" s="23" t="str">
        <f t="shared" si="3"/>
        <v>RENO</v>
      </c>
      <c r="K20" s="23" t="str">
        <f t="shared" si="4"/>
        <v>BT003J</v>
      </c>
      <c r="L20" s="23" t="s">
        <v>76</v>
      </c>
      <c r="M20" s="23" t="s">
        <v>10</v>
      </c>
      <c r="N20" s="23" t="s">
        <v>263</v>
      </c>
      <c r="O20" s="23" t="s">
        <v>66</v>
      </c>
      <c r="P20" s="23" t="s">
        <v>204</v>
      </c>
      <c r="Q20" s="23" t="s">
        <v>205</v>
      </c>
      <c r="T20" s="23" t="s">
        <v>267</v>
      </c>
      <c r="U20" s="23" t="s">
        <v>91</v>
      </c>
      <c r="V20" s="23" t="s">
        <v>202</v>
      </c>
      <c r="W20" s="23" t="s">
        <v>93</v>
      </c>
      <c r="Y20" s="23" t="s">
        <v>268</v>
      </c>
      <c r="Z20" s="23">
        <v>0.01</v>
      </c>
      <c r="AA20" s="23" t="s">
        <v>209</v>
      </c>
      <c r="AB20" s="23" t="s">
        <v>210</v>
      </c>
    </row>
    <row r="21" ht="15.75" customHeight="1">
      <c r="E21" s="45" t="s">
        <v>231</v>
      </c>
      <c r="F21" s="45" t="s">
        <v>219</v>
      </c>
      <c r="G21" s="45" t="s">
        <v>42</v>
      </c>
      <c r="H21" s="23" t="s">
        <v>49</v>
      </c>
      <c r="J21" s="23" t="str">
        <f t="shared" si="3"/>
        <v>RENO</v>
      </c>
      <c r="K21" s="23" t="str">
        <f t="shared" si="4"/>
        <v>BS030J</v>
      </c>
      <c r="L21" s="23" t="s">
        <v>80</v>
      </c>
      <c r="M21" s="23" t="s">
        <v>10</v>
      </c>
      <c r="N21" s="23" t="s">
        <v>203</v>
      </c>
      <c r="O21" s="23" t="s">
        <v>204</v>
      </c>
      <c r="P21" s="23" t="s">
        <v>205</v>
      </c>
      <c r="T21" s="23" t="s">
        <v>92</v>
      </c>
      <c r="U21" s="23" t="s">
        <v>91</v>
      </c>
      <c r="V21" s="23" t="s">
        <v>202</v>
      </c>
      <c r="W21" s="23" t="s">
        <v>93</v>
      </c>
      <c r="Y21" s="23" t="s">
        <v>268</v>
      </c>
      <c r="Z21" s="23">
        <v>0.01</v>
      </c>
      <c r="AA21" s="23" t="s">
        <v>209</v>
      </c>
      <c r="AB21" s="23" t="s">
        <v>210</v>
      </c>
    </row>
    <row r="22" ht="15.75" customHeight="1">
      <c r="E22" s="46" t="s">
        <v>234</v>
      </c>
      <c r="F22" s="46" t="s">
        <v>219</v>
      </c>
      <c r="G22" s="46" t="s">
        <v>42</v>
      </c>
      <c r="H22" s="23" t="s">
        <v>49</v>
      </c>
      <c r="J22" s="23" t="str">
        <f t="shared" si="3"/>
        <v>VOLVO</v>
      </c>
      <c r="K22" s="23" t="str">
        <f t="shared" si="4"/>
        <v>8727E</v>
      </c>
      <c r="L22" s="23" t="s">
        <v>85</v>
      </c>
      <c r="M22" s="23" t="s">
        <v>10</v>
      </c>
      <c r="N22" s="23" t="s">
        <v>203</v>
      </c>
      <c r="O22" s="23" t="s">
        <v>204</v>
      </c>
      <c r="P22" s="23" t="s">
        <v>205</v>
      </c>
      <c r="T22" s="23" t="s">
        <v>269</v>
      </c>
      <c r="U22" s="23" t="s">
        <v>91</v>
      </c>
      <c r="V22" s="23" t="s">
        <v>202</v>
      </c>
      <c r="W22" s="23" t="s">
        <v>98</v>
      </c>
      <c r="Y22" s="23" t="s">
        <v>270</v>
      </c>
      <c r="Z22" s="23">
        <v>0.010417</v>
      </c>
      <c r="AA22" s="23" t="s">
        <v>271</v>
      </c>
      <c r="AB22" s="23" t="s">
        <v>210</v>
      </c>
    </row>
    <row r="23" ht="15.75" customHeight="1">
      <c r="E23" s="45" t="s">
        <v>206</v>
      </c>
      <c r="F23" s="45" t="s">
        <v>207</v>
      </c>
      <c r="G23" s="45" t="s">
        <v>42</v>
      </c>
      <c r="H23" s="23" t="s">
        <v>44</v>
      </c>
      <c r="J23" s="23" t="str">
        <f t="shared" si="3"/>
        <v>VOLVO</v>
      </c>
      <c r="K23" s="23" t="str">
        <f t="shared" si="4"/>
        <v>8728</v>
      </c>
      <c r="L23" s="23" t="s">
        <v>87</v>
      </c>
      <c r="T23" s="23" t="s">
        <v>272</v>
      </c>
      <c r="U23" s="23" t="s">
        <v>91</v>
      </c>
      <c r="V23" s="23" t="s">
        <v>202</v>
      </c>
      <c r="W23" s="23" t="s">
        <v>93</v>
      </c>
      <c r="X23" s="23"/>
      <c r="Y23" s="23" t="s">
        <v>268</v>
      </c>
      <c r="Z23" s="23">
        <v>0.01</v>
      </c>
      <c r="AA23" s="23" t="s">
        <v>209</v>
      </c>
      <c r="AB23" s="23" t="s">
        <v>210</v>
      </c>
    </row>
    <row r="24" ht="15.75" customHeight="1">
      <c r="E24" s="46" t="s">
        <v>22</v>
      </c>
      <c r="F24" s="46" t="s">
        <v>273</v>
      </c>
      <c r="G24" s="46" t="s">
        <v>21</v>
      </c>
      <c r="H24" s="23" t="s">
        <v>23</v>
      </c>
      <c r="J24" s="23" t="str">
        <f t="shared" si="3"/>
        <v>VW AG</v>
      </c>
      <c r="K24" s="23" t="str">
        <f t="shared" si="4"/>
        <v>8417M</v>
      </c>
      <c r="L24" s="23" t="s">
        <v>93</v>
      </c>
      <c r="M24" s="23" t="s">
        <v>10</v>
      </c>
      <c r="N24" s="23" t="s">
        <v>203</v>
      </c>
      <c r="O24" s="23" t="s">
        <v>204</v>
      </c>
      <c r="P24" s="23" t="s">
        <v>205</v>
      </c>
      <c r="T24" s="23" t="s">
        <v>274</v>
      </c>
      <c r="U24" s="23" t="s">
        <v>91</v>
      </c>
      <c r="V24" s="23" t="s">
        <v>202</v>
      </c>
      <c r="W24" s="23" t="s">
        <v>93</v>
      </c>
      <c r="Y24" s="23" t="s">
        <v>268</v>
      </c>
      <c r="Z24" s="23">
        <v>0.0125</v>
      </c>
      <c r="AA24" s="23" t="s">
        <v>209</v>
      </c>
      <c r="AB24" s="23" t="s">
        <v>210</v>
      </c>
    </row>
    <row r="25" ht="15.75" customHeight="1">
      <c r="E25" s="45" t="s">
        <v>25</v>
      </c>
      <c r="F25" s="45" t="s">
        <v>273</v>
      </c>
      <c r="G25" s="45" t="s">
        <v>21</v>
      </c>
      <c r="H25" s="23" t="s">
        <v>26</v>
      </c>
      <c r="J25" s="23" t="str">
        <f t="shared" si="3"/>
        <v>VW AG</v>
      </c>
      <c r="K25" s="23" t="str">
        <f t="shared" si="4"/>
        <v>8418R</v>
      </c>
      <c r="L25" s="23" t="s">
        <v>98</v>
      </c>
      <c r="M25" s="23" t="s">
        <v>275</v>
      </c>
      <c r="T25" s="23" t="s">
        <v>96</v>
      </c>
      <c r="U25" s="23" t="s">
        <v>91</v>
      </c>
      <c r="V25" s="23" t="s">
        <v>202</v>
      </c>
      <c r="W25" s="23" t="s">
        <v>98</v>
      </c>
      <c r="Y25" s="23" t="s">
        <v>270</v>
      </c>
      <c r="Z25" s="23">
        <v>0.010417</v>
      </c>
      <c r="AA25" s="23" t="s">
        <v>271</v>
      </c>
      <c r="AB25" s="23" t="s">
        <v>210</v>
      </c>
    </row>
    <row r="26" ht="15.75" customHeight="1">
      <c r="E26" s="46" t="s">
        <v>276</v>
      </c>
      <c r="F26" s="46" t="s">
        <v>277</v>
      </c>
      <c r="G26" s="46" t="s">
        <v>21</v>
      </c>
      <c r="H26" s="23" t="s">
        <v>23</v>
      </c>
      <c r="J26" s="23" t="str">
        <f t="shared" si="3"/>
        <v>VW AG</v>
      </c>
      <c r="K26" s="23" t="str">
        <f t="shared" si="4"/>
        <v>8420Q</v>
      </c>
      <c r="L26" s="23" t="s">
        <v>102</v>
      </c>
      <c r="M26" s="23" t="s">
        <v>55</v>
      </c>
      <c r="T26" s="23" t="s">
        <v>278</v>
      </c>
      <c r="U26" s="23" t="s">
        <v>91</v>
      </c>
      <c r="V26" s="23" t="s">
        <v>202</v>
      </c>
      <c r="W26" s="23" t="s">
        <v>93</v>
      </c>
      <c r="Y26" s="23" t="s">
        <v>268</v>
      </c>
      <c r="Z26" s="23">
        <v>0.0125</v>
      </c>
      <c r="AA26" s="23" t="s">
        <v>209</v>
      </c>
      <c r="AB26" s="23" t="s">
        <v>210</v>
      </c>
    </row>
    <row r="27" ht="15.75" customHeight="1">
      <c r="E27" s="45" t="s">
        <v>27</v>
      </c>
      <c r="F27" s="45" t="s">
        <v>279</v>
      </c>
      <c r="G27" s="45" t="s">
        <v>21</v>
      </c>
      <c r="H27" s="23" t="s">
        <v>28</v>
      </c>
      <c r="J27" s="23" t="str">
        <f t="shared" si="3"/>
        <v>VW AG</v>
      </c>
      <c r="K27" s="23" t="str">
        <f t="shared" si="4"/>
        <v>8712XP</v>
      </c>
      <c r="L27" s="23" t="s">
        <v>107</v>
      </c>
      <c r="M27" s="23" t="s">
        <v>55</v>
      </c>
      <c r="T27" s="23" t="s">
        <v>280</v>
      </c>
      <c r="U27" s="23" t="s">
        <v>91</v>
      </c>
      <c r="V27" s="23" t="s">
        <v>202</v>
      </c>
      <c r="W27" s="23" t="s">
        <v>93</v>
      </c>
      <c r="Y27" s="23" t="s">
        <v>268</v>
      </c>
      <c r="Z27" s="23">
        <v>0.0125</v>
      </c>
      <c r="AA27" s="23" t="s">
        <v>209</v>
      </c>
      <c r="AB27" s="23" t="s">
        <v>210</v>
      </c>
    </row>
    <row r="28" ht="15.75" customHeight="1">
      <c r="E28" s="46" t="s">
        <v>281</v>
      </c>
      <c r="F28" s="46" t="s">
        <v>282</v>
      </c>
      <c r="G28" s="46" t="s">
        <v>21</v>
      </c>
      <c r="H28" s="23" t="s">
        <v>28</v>
      </c>
      <c r="J28" s="23" t="str">
        <f t="shared" si="3"/>
        <v>VW AG</v>
      </c>
      <c r="K28" s="23" t="str">
        <f t="shared" si="4"/>
        <v>8712XE</v>
      </c>
      <c r="L28" s="23" t="s">
        <v>109</v>
      </c>
      <c r="M28" s="23" t="s">
        <v>10</v>
      </c>
      <c r="N28" s="23" t="s">
        <v>203</v>
      </c>
      <c r="O28" s="23" t="s">
        <v>204</v>
      </c>
      <c r="P28" s="23" t="s">
        <v>205</v>
      </c>
      <c r="T28" s="23" t="s">
        <v>283</v>
      </c>
      <c r="U28" s="23" t="s">
        <v>91</v>
      </c>
      <c r="V28" s="23" t="s">
        <v>202</v>
      </c>
      <c r="W28" s="23" t="s">
        <v>93</v>
      </c>
      <c r="Y28" s="23" t="s">
        <v>268</v>
      </c>
      <c r="Z28" s="23">
        <v>0.0125</v>
      </c>
      <c r="AA28" s="23" t="s">
        <v>209</v>
      </c>
      <c r="AB28" s="23" t="s">
        <v>210</v>
      </c>
    </row>
    <row r="29" ht="15.75" customHeight="1">
      <c r="E29" s="45" t="s">
        <v>31</v>
      </c>
      <c r="F29" s="45" t="s">
        <v>245</v>
      </c>
      <c r="G29" s="45" t="s">
        <v>30</v>
      </c>
      <c r="H29" s="23" t="s">
        <v>32</v>
      </c>
      <c r="T29" s="23" t="s">
        <v>284</v>
      </c>
      <c r="U29" s="23" t="s">
        <v>91</v>
      </c>
      <c r="V29" s="23" t="s">
        <v>202</v>
      </c>
      <c r="W29" s="23" t="s">
        <v>93</v>
      </c>
      <c r="X29" s="23"/>
      <c r="Y29" s="23" t="s">
        <v>268</v>
      </c>
      <c r="Z29" s="23">
        <v>0.0125</v>
      </c>
      <c r="AA29" s="23" t="s">
        <v>209</v>
      </c>
      <c r="AB29" s="23" t="s">
        <v>210</v>
      </c>
    </row>
    <row r="30" ht="15.75" customHeight="1">
      <c r="E30" s="46" t="s">
        <v>37</v>
      </c>
      <c r="F30" s="46" t="s">
        <v>285</v>
      </c>
      <c r="G30" s="46" t="s">
        <v>30</v>
      </c>
      <c r="H30" s="23" t="s">
        <v>38</v>
      </c>
      <c r="T30" s="23" t="s">
        <v>221</v>
      </c>
      <c r="U30" s="23" t="s">
        <v>91</v>
      </c>
      <c r="V30" s="23" t="s">
        <v>202</v>
      </c>
      <c r="W30" s="23" t="s">
        <v>93</v>
      </c>
      <c r="X30" s="23"/>
      <c r="Y30" s="23" t="s">
        <v>268</v>
      </c>
      <c r="Z30" s="23">
        <v>0.0125</v>
      </c>
      <c r="AA30" s="23" t="s">
        <v>209</v>
      </c>
      <c r="AB30" s="23" t="s">
        <v>210</v>
      </c>
    </row>
    <row r="31" ht="15.75" customHeight="1">
      <c r="E31" s="45" t="s">
        <v>261</v>
      </c>
      <c r="F31" s="45" t="s">
        <v>262</v>
      </c>
      <c r="G31" s="45" t="s">
        <v>30</v>
      </c>
      <c r="H31" s="23" t="s">
        <v>32</v>
      </c>
      <c r="T31" s="23" t="s">
        <v>286</v>
      </c>
      <c r="U31" s="23" t="s">
        <v>91</v>
      </c>
      <c r="V31" s="23" t="s">
        <v>287</v>
      </c>
      <c r="W31" s="23" t="s">
        <v>93</v>
      </c>
      <c r="X31" s="23"/>
      <c r="Y31" s="23" t="s">
        <v>268</v>
      </c>
      <c r="Z31" s="23">
        <v>0.01</v>
      </c>
      <c r="AA31" s="23" t="s">
        <v>209</v>
      </c>
      <c r="AB31" s="23" t="s">
        <v>210</v>
      </c>
    </row>
    <row r="32" ht="15.75" customHeight="1">
      <c r="E32" s="47" t="s">
        <v>265</v>
      </c>
      <c r="F32" s="46" t="s">
        <v>266</v>
      </c>
      <c r="G32" s="47" t="s">
        <v>30</v>
      </c>
      <c r="H32" s="23" t="s">
        <v>32</v>
      </c>
      <c r="T32" s="23" t="s">
        <v>288</v>
      </c>
      <c r="U32" s="23" t="s">
        <v>91</v>
      </c>
      <c r="V32" s="23" t="s">
        <v>287</v>
      </c>
      <c r="W32" s="23" t="s">
        <v>93</v>
      </c>
      <c r="X32" s="23"/>
      <c r="Y32" s="23" t="s">
        <v>268</v>
      </c>
      <c r="Z32" s="23">
        <v>0.01</v>
      </c>
      <c r="AA32" s="23" t="s">
        <v>209</v>
      </c>
      <c r="AB32" s="23" t="s">
        <v>210</v>
      </c>
    </row>
    <row r="33" ht="15.75" customHeight="1">
      <c r="E33" s="48" t="s">
        <v>40</v>
      </c>
      <c r="F33" s="45" t="s">
        <v>264</v>
      </c>
      <c r="G33" s="48" t="s">
        <v>30</v>
      </c>
      <c r="H33" s="23" t="s">
        <v>41</v>
      </c>
      <c r="T33" s="23" t="s">
        <v>289</v>
      </c>
      <c r="U33" s="23" t="s">
        <v>91</v>
      </c>
      <c r="V33" s="23" t="s">
        <v>287</v>
      </c>
      <c r="W33" s="23" t="s">
        <v>98</v>
      </c>
      <c r="X33" s="23"/>
      <c r="Y33" s="23" t="s">
        <v>270</v>
      </c>
      <c r="Z33" s="23">
        <v>0.010416</v>
      </c>
      <c r="AA33" s="23" t="s">
        <v>271</v>
      </c>
      <c r="AB33" s="23" t="s">
        <v>210</v>
      </c>
    </row>
    <row r="34" ht="15.75" customHeight="1">
      <c r="E34" s="47" t="s">
        <v>290</v>
      </c>
      <c r="F34" s="46" t="s">
        <v>291</v>
      </c>
      <c r="G34" s="47" t="s">
        <v>91</v>
      </c>
      <c r="H34" s="23" t="s">
        <v>292</v>
      </c>
      <c r="T34" s="23" t="s">
        <v>293</v>
      </c>
      <c r="U34" s="23" t="s">
        <v>91</v>
      </c>
      <c r="V34" s="23" t="s">
        <v>294</v>
      </c>
      <c r="W34" s="23" t="s">
        <v>93</v>
      </c>
      <c r="X34" s="23"/>
      <c r="Y34" s="23" t="s">
        <v>268</v>
      </c>
      <c r="Z34" s="23">
        <v>0.01</v>
      </c>
      <c r="AA34" s="23" t="s">
        <v>209</v>
      </c>
      <c r="AB34" s="23" t="s">
        <v>210</v>
      </c>
    </row>
    <row r="35" ht="15.75" customHeight="1">
      <c r="E35" s="48" t="s">
        <v>295</v>
      </c>
      <c r="F35" s="45" t="s">
        <v>296</v>
      </c>
      <c r="G35" s="48" t="s">
        <v>8</v>
      </c>
      <c r="H35" s="23" t="s">
        <v>32</v>
      </c>
      <c r="T35" s="23" t="s">
        <v>297</v>
      </c>
      <c r="U35" s="23" t="s">
        <v>67</v>
      </c>
      <c r="V35" s="23" t="s">
        <v>298</v>
      </c>
      <c r="W35" s="23" t="s">
        <v>76</v>
      </c>
      <c r="X35" s="23"/>
      <c r="Y35" s="23" t="s">
        <v>299</v>
      </c>
      <c r="Z35" s="23">
        <v>0.0125</v>
      </c>
      <c r="AA35" s="23" t="s">
        <v>209</v>
      </c>
      <c r="AB35" s="23" t="s">
        <v>210</v>
      </c>
    </row>
    <row r="36" ht="15.75" customHeight="1">
      <c r="E36" s="47" t="s">
        <v>58</v>
      </c>
      <c r="F36" s="46" t="s">
        <v>300</v>
      </c>
      <c r="G36" s="47" t="s">
        <v>57</v>
      </c>
      <c r="H36" s="23" t="s">
        <v>59</v>
      </c>
      <c r="T36" s="23" t="s">
        <v>301</v>
      </c>
      <c r="U36" s="23" t="s">
        <v>67</v>
      </c>
      <c r="V36" s="23" t="s">
        <v>298</v>
      </c>
      <c r="W36" s="23" t="s">
        <v>69</v>
      </c>
      <c r="X36" s="23"/>
      <c r="Y36" s="23" t="s">
        <v>302</v>
      </c>
      <c r="Z36" s="23">
        <v>0.01</v>
      </c>
      <c r="AA36" s="23" t="s">
        <v>209</v>
      </c>
      <c r="AB36" s="23" t="s">
        <v>210</v>
      </c>
    </row>
    <row r="37" ht="15.75" customHeight="1">
      <c r="E37" s="48" t="s">
        <v>303</v>
      </c>
      <c r="F37" s="45" t="s">
        <v>300</v>
      </c>
      <c r="G37" s="48" t="s">
        <v>57</v>
      </c>
      <c r="H37" s="23" t="s">
        <v>59</v>
      </c>
      <c r="T37" s="23" t="s">
        <v>68</v>
      </c>
      <c r="U37" s="23" t="s">
        <v>67</v>
      </c>
      <c r="V37" s="23" t="s">
        <v>298</v>
      </c>
      <c r="W37" s="23" t="s">
        <v>69</v>
      </c>
      <c r="X37" s="23"/>
      <c r="Y37" s="23" t="s">
        <v>302</v>
      </c>
      <c r="Z37" s="23">
        <v>0.01</v>
      </c>
      <c r="AA37" s="23" t="s">
        <v>209</v>
      </c>
      <c r="AB37" s="23" t="s">
        <v>210</v>
      </c>
    </row>
    <row r="38" ht="15.75" customHeight="1">
      <c r="E38" s="47" t="s">
        <v>61</v>
      </c>
      <c r="F38" s="46" t="s">
        <v>300</v>
      </c>
      <c r="G38" s="47" t="s">
        <v>57</v>
      </c>
      <c r="H38" s="23" t="s">
        <v>62</v>
      </c>
      <c r="T38" s="23" t="s">
        <v>304</v>
      </c>
      <c r="U38" s="23" t="s">
        <v>67</v>
      </c>
      <c r="V38" s="23" t="s">
        <v>298</v>
      </c>
      <c r="W38" s="23" t="s">
        <v>76</v>
      </c>
      <c r="X38" s="23"/>
      <c r="Y38" s="23" t="s">
        <v>299</v>
      </c>
      <c r="Z38" s="23">
        <v>0.0125</v>
      </c>
      <c r="AA38" s="23" t="s">
        <v>209</v>
      </c>
      <c r="AB38" s="23" t="s">
        <v>210</v>
      </c>
    </row>
    <row r="39" ht="15.75" customHeight="1">
      <c r="E39" s="48" t="s">
        <v>305</v>
      </c>
      <c r="F39" s="45" t="s">
        <v>306</v>
      </c>
      <c r="G39" s="48" t="s">
        <v>91</v>
      </c>
      <c r="H39" s="23" t="s">
        <v>98</v>
      </c>
      <c r="T39" s="23" t="s">
        <v>307</v>
      </c>
      <c r="U39" s="23" t="s">
        <v>91</v>
      </c>
      <c r="V39" s="23" t="s">
        <v>287</v>
      </c>
      <c r="W39" s="23" t="s">
        <v>93</v>
      </c>
      <c r="X39" s="23"/>
      <c r="Y39" s="23" t="s">
        <v>268</v>
      </c>
      <c r="Z39" s="23">
        <v>0.01</v>
      </c>
      <c r="AA39" s="23" t="s">
        <v>209</v>
      </c>
      <c r="AB39" s="23" t="s">
        <v>210</v>
      </c>
    </row>
    <row r="40" ht="15.75" customHeight="1">
      <c r="E40" s="47" t="s">
        <v>105</v>
      </c>
      <c r="F40" s="46" t="s">
        <v>306</v>
      </c>
      <c r="G40" s="47" t="s">
        <v>91</v>
      </c>
      <c r="H40" s="23" t="s">
        <v>107</v>
      </c>
      <c r="T40" s="23" t="s">
        <v>308</v>
      </c>
      <c r="U40" s="23" t="s">
        <v>91</v>
      </c>
      <c r="V40" s="23" t="s">
        <v>287</v>
      </c>
      <c r="W40" s="23" t="s">
        <v>93</v>
      </c>
      <c r="X40" s="23"/>
      <c r="Y40" s="23" t="s">
        <v>268</v>
      </c>
      <c r="Z40" s="23">
        <v>0.01</v>
      </c>
      <c r="AA40" s="23" t="s">
        <v>209</v>
      </c>
      <c r="AB40" s="23" t="s">
        <v>210</v>
      </c>
    </row>
    <row r="41" ht="15.75" customHeight="1">
      <c r="E41" s="48" t="s">
        <v>108</v>
      </c>
      <c r="F41" s="45" t="s">
        <v>306</v>
      </c>
      <c r="G41" s="48" t="s">
        <v>91</v>
      </c>
      <c r="H41" s="23" t="s">
        <v>109</v>
      </c>
      <c r="T41" s="23" t="s">
        <v>309</v>
      </c>
      <c r="U41" s="23" t="s">
        <v>91</v>
      </c>
      <c r="V41" s="23" t="s">
        <v>287</v>
      </c>
      <c r="W41" s="23" t="s">
        <v>98</v>
      </c>
      <c r="X41" s="23"/>
      <c r="Y41" s="23" t="s">
        <v>270</v>
      </c>
      <c r="Z41" s="23">
        <v>0.010417</v>
      </c>
      <c r="AA41" s="23" t="s">
        <v>271</v>
      </c>
      <c r="AB41" s="23" t="s">
        <v>210</v>
      </c>
    </row>
    <row r="42" ht="15.75" customHeight="1">
      <c r="E42" s="47" t="s">
        <v>310</v>
      </c>
      <c r="F42" s="46" t="s">
        <v>306</v>
      </c>
      <c r="G42" s="47" t="s">
        <v>91</v>
      </c>
      <c r="H42" s="23" t="s">
        <v>109</v>
      </c>
      <c r="T42" s="23" t="s">
        <v>311</v>
      </c>
      <c r="U42" s="23" t="s">
        <v>91</v>
      </c>
      <c r="V42" s="23" t="s">
        <v>287</v>
      </c>
      <c r="W42" s="23" t="s">
        <v>93</v>
      </c>
      <c r="X42" s="23"/>
      <c r="Y42" s="23" t="s">
        <v>268</v>
      </c>
      <c r="Z42" s="23">
        <v>0.01</v>
      </c>
      <c r="AA42" s="23" t="s">
        <v>209</v>
      </c>
      <c r="AB42" s="23" t="s">
        <v>210</v>
      </c>
    </row>
    <row r="43" ht="15.75" customHeight="1">
      <c r="E43" s="48" t="s">
        <v>311</v>
      </c>
      <c r="F43" s="45" t="s">
        <v>287</v>
      </c>
      <c r="G43" s="48" t="s">
        <v>91</v>
      </c>
      <c r="H43" s="23" t="s">
        <v>93</v>
      </c>
      <c r="T43" s="23" t="s">
        <v>312</v>
      </c>
      <c r="U43" s="23" t="s">
        <v>91</v>
      </c>
      <c r="V43" s="23" t="s">
        <v>287</v>
      </c>
      <c r="W43" s="23" t="s">
        <v>93</v>
      </c>
      <c r="X43" s="23"/>
      <c r="Y43" s="23" t="s">
        <v>268</v>
      </c>
      <c r="Z43" s="23">
        <v>0.01</v>
      </c>
      <c r="AA43" s="23" t="s">
        <v>209</v>
      </c>
      <c r="AB43" s="23" t="s">
        <v>210</v>
      </c>
    </row>
    <row r="44" ht="15.75" customHeight="1">
      <c r="E44" s="47" t="s">
        <v>313</v>
      </c>
      <c r="F44" s="46" t="s">
        <v>287</v>
      </c>
      <c r="G44" s="47" t="s">
        <v>91</v>
      </c>
      <c r="H44" s="23" t="s">
        <v>102</v>
      </c>
      <c r="T44" s="23" t="s">
        <v>314</v>
      </c>
      <c r="U44" s="23" t="s">
        <v>91</v>
      </c>
      <c r="V44" s="23" t="s">
        <v>287</v>
      </c>
      <c r="W44" s="23" t="s">
        <v>93</v>
      </c>
      <c r="X44" s="23"/>
      <c r="Y44" s="23" t="s">
        <v>268</v>
      </c>
      <c r="Z44" s="23">
        <v>0.01</v>
      </c>
      <c r="AA44" s="23" t="s">
        <v>209</v>
      </c>
      <c r="AB44" s="23" t="s">
        <v>210</v>
      </c>
    </row>
    <row r="45" ht="15.75" customHeight="1">
      <c r="E45" s="48" t="s">
        <v>16</v>
      </c>
      <c r="F45" s="45" t="s">
        <v>315</v>
      </c>
      <c r="G45" s="48" t="s">
        <v>15</v>
      </c>
      <c r="H45" s="23" t="s">
        <v>17</v>
      </c>
      <c r="T45" s="23" t="s">
        <v>316</v>
      </c>
      <c r="U45" s="23" t="s">
        <v>91</v>
      </c>
      <c r="V45" s="23" t="s">
        <v>287</v>
      </c>
      <c r="W45" s="23" t="s">
        <v>98</v>
      </c>
      <c r="X45" s="23"/>
      <c r="Y45" s="23" t="s">
        <v>270</v>
      </c>
      <c r="Z45" s="23">
        <v>0.010417</v>
      </c>
      <c r="AA45" s="23" t="s">
        <v>271</v>
      </c>
      <c r="AB45" s="23" t="s">
        <v>210</v>
      </c>
    </row>
    <row r="46" ht="15.75" customHeight="1">
      <c r="E46" s="47" t="s">
        <v>317</v>
      </c>
      <c r="F46" s="46" t="s">
        <v>318</v>
      </c>
      <c r="G46" s="47" t="s">
        <v>15</v>
      </c>
      <c r="H46" s="23" t="s">
        <v>17</v>
      </c>
      <c r="T46" s="23" t="s">
        <v>319</v>
      </c>
      <c r="U46" s="23" t="s">
        <v>91</v>
      </c>
      <c r="V46" s="23" t="s">
        <v>287</v>
      </c>
      <c r="W46" s="23" t="s">
        <v>93</v>
      </c>
      <c r="X46" s="23"/>
      <c r="Y46" s="23" t="s">
        <v>268</v>
      </c>
      <c r="Z46" s="23">
        <v>0.01</v>
      </c>
      <c r="AA46" s="23" t="s">
        <v>209</v>
      </c>
      <c r="AB46" s="23" t="s">
        <v>210</v>
      </c>
    </row>
    <row r="47" ht="15.75" customHeight="1">
      <c r="E47" s="48" t="s">
        <v>320</v>
      </c>
      <c r="F47" s="45" t="s">
        <v>321</v>
      </c>
      <c r="G47" s="48" t="s">
        <v>15</v>
      </c>
      <c r="H47" s="23" t="s">
        <v>17</v>
      </c>
      <c r="T47" s="23" t="s">
        <v>322</v>
      </c>
      <c r="U47" s="23" t="s">
        <v>67</v>
      </c>
      <c r="V47" s="23" t="s">
        <v>323</v>
      </c>
      <c r="W47" s="23" t="s">
        <v>76</v>
      </c>
      <c r="X47" s="23"/>
      <c r="Y47" s="23" t="s">
        <v>299</v>
      </c>
      <c r="Z47" s="23">
        <v>0.0125</v>
      </c>
      <c r="AA47" s="23" t="s">
        <v>209</v>
      </c>
      <c r="AB47" s="23" t="s">
        <v>210</v>
      </c>
    </row>
    <row r="48" ht="15.75" customHeight="1">
      <c r="E48" s="47" t="s">
        <v>54</v>
      </c>
      <c r="F48" s="46" t="s">
        <v>324</v>
      </c>
      <c r="G48" s="47" t="s">
        <v>53</v>
      </c>
      <c r="H48" s="23" t="s">
        <v>56</v>
      </c>
      <c r="T48" s="23" t="s">
        <v>325</v>
      </c>
      <c r="U48" s="23" t="s">
        <v>67</v>
      </c>
      <c r="V48" s="23" t="s">
        <v>323</v>
      </c>
      <c r="W48" s="23" t="s">
        <v>69</v>
      </c>
      <c r="X48" s="23"/>
      <c r="Y48" s="23" t="s">
        <v>302</v>
      </c>
      <c r="Z48" s="23">
        <v>0.01</v>
      </c>
      <c r="AA48" s="23" t="s">
        <v>209</v>
      </c>
      <c r="AB48" s="23" t="s">
        <v>210</v>
      </c>
    </row>
    <row r="49" ht="15.75" customHeight="1">
      <c r="E49" s="48" t="s">
        <v>68</v>
      </c>
      <c r="F49" s="45" t="s">
        <v>298</v>
      </c>
      <c r="G49" s="48" t="s">
        <v>67</v>
      </c>
      <c r="H49" s="23" t="s">
        <v>69</v>
      </c>
      <c r="T49" s="23" t="s">
        <v>326</v>
      </c>
      <c r="U49" s="23" t="s">
        <v>67</v>
      </c>
      <c r="V49" s="23" t="s">
        <v>323</v>
      </c>
      <c r="W49" s="23" t="s">
        <v>69</v>
      </c>
      <c r="X49" s="23"/>
      <c r="Y49" s="23" t="s">
        <v>302</v>
      </c>
      <c r="Z49" s="23">
        <v>0.01</v>
      </c>
      <c r="AA49" s="23" t="s">
        <v>209</v>
      </c>
      <c r="AB49" s="23" t="s">
        <v>210</v>
      </c>
    </row>
    <row r="50" ht="15.75" customHeight="1">
      <c r="E50" s="47" t="s">
        <v>301</v>
      </c>
      <c r="F50" s="46" t="s">
        <v>298</v>
      </c>
      <c r="G50" s="47" t="s">
        <v>67</v>
      </c>
      <c r="H50" s="23" t="s">
        <v>69</v>
      </c>
      <c r="T50" s="23" t="s">
        <v>327</v>
      </c>
      <c r="U50" s="23" t="s">
        <v>67</v>
      </c>
      <c r="V50" s="23" t="s">
        <v>323</v>
      </c>
      <c r="W50" s="23" t="s">
        <v>76</v>
      </c>
      <c r="X50" s="23"/>
      <c r="Y50" s="23" t="s">
        <v>299</v>
      </c>
      <c r="Z50" s="23">
        <v>0.0125</v>
      </c>
      <c r="AA50" s="23" t="s">
        <v>209</v>
      </c>
      <c r="AB50" s="23" t="s">
        <v>210</v>
      </c>
    </row>
    <row r="51" ht="15.75" customHeight="1">
      <c r="E51" s="48" t="s">
        <v>326</v>
      </c>
      <c r="F51" s="45" t="s">
        <v>323</v>
      </c>
      <c r="G51" s="48" t="s">
        <v>67</v>
      </c>
      <c r="H51" s="23" t="s">
        <v>69</v>
      </c>
      <c r="T51" s="23" t="s">
        <v>327</v>
      </c>
      <c r="U51" s="23" t="s">
        <v>67</v>
      </c>
      <c r="V51" s="23" t="s">
        <v>323</v>
      </c>
      <c r="W51" s="23" t="s">
        <v>76</v>
      </c>
      <c r="X51" s="23"/>
      <c r="Y51" s="23" t="s">
        <v>299</v>
      </c>
      <c r="Z51" s="23">
        <v>0.009259</v>
      </c>
      <c r="AA51" s="23" t="s">
        <v>209</v>
      </c>
      <c r="AB51" s="23" t="s">
        <v>210</v>
      </c>
    </row>
    <row r="52" ht="15.75" customHeight="1">
      <c r="E52" s="47" t="s">
        <v>325</v>
      </c>
      <c r="F52" s="46" t="s">
        <v>323</v>
      </c>
      <c r="G52" s="47" t="s">
        <v>67</v>
      </c>
      <c r="H52" s="23" t="s">
        <v>69</v>
      </c>
      <c r="T52" s="23" t="s">
        <v>54</v>
      </c>
      <c r="U52" s="23" t="s">
        <v>53</v>
      </c>
      <c r="V52" s="23" t="s">
        <v>324</v>
      </c>
      <c r="W52" s="23" t="s">
        <v>56</v>
      </c>
      <c r="X52" s="23"/>
      <c r="Y52" s="23" t="s">
        <v>328</v>
      </c>
      <c r="Z52" s="23">
        <v>0.010101</v>
      </c>
      <c r="AA52" s="23" t="s">
        <v>271</v>
      </c>
      <c r="AB52" s="23" t="s">
        <v>210</v>
      </c>
    </row>
    <row r="53" ht="15.75" customHeight="1">
      <c r="E53" s="48" t="s">
        <v>73</v>
      </c>
      <c r="F53" s="45" t="s">
        <v>298</v>
      </c>
      <c r="G53" s="48" t="s">
        <v>67</v>
      </c>
      <c r="H53" s="23" t="s">
        <v>74</v>
      </c>
      <c r="T53" s="23" t="s">
        <v>329</v>
      </c>
      <c r="U53" s="23" t="s">
        <v>53</v>
      </c>
      <c r="V53" s="23" t="s">
        <v>330</v>
      </c>
      <c r="W53" s="23" t="s">
        <v>56</v>
      </c>
      <c r="X53" s="23"/>
      <c r="Y53" s="23" t="s">
        <v>328</v>
      </c>
      <c r="Z53" s="23">
        <v>0.010101</v>
      </c>
      <c r="AA53" s="23" t="s">
        <v>271</v>
      </c>
      <c r="AB53" s="23" t="s">
        <v>210</v>
      </c>
    </row>
    <row r="54" ht="15.75" customHeight="1">
      <c r="E54" s="47" t="s">
        <v>75</v>
      </c>
      <c r="F54" s="46" t="s">
        <v>323</v>
      </c>
      <c r="G54" s="47" t="s">
        <v>67</v>
      </c>
      <c r="H54" s="23" t="s">
        <v>76</v>
      </c>
      <c r="T54" s="23" t="s">
        <v>331</v>
      </c>
      <c r="U54" s="23" t="s">
        <v>53</v>
      </c>
      <c r="V54" s="23" t="s">
        <v>332</v>
      </c>
      <c r="W54" s="23" t="s">
        <v>56</v>
      </c>
      <c r="X54" s="23"/>
      <c r="Y54" s="23" t="s">
        <v>328</v>
      </c>
      <c r="Z54" s="23">
        <v>0.010101</v>
      </c>
      <c r="AA54" s="23" t="s">
        <v>271</v>
      </c>
      <c r="AB54" s="23" t="s">
        <v>210</v>
      </c>
    </row>
    <row r="55" ht="15.75" customHeight="1">
      <c r="E55" s="48" t="s">
        <v>333</v>
      </c>
      <c r="F55" s="45" t="s">
        <v>334</v>
      </c>
      <c r="G55" s="48" t="s">
        <v>67</v>
      </c>
      <c r="H55" s="23" t="s">
        <v>76</v>
      </c>
      <c r="T55" s="23" t="s">
        <v>335</v>
      </c>
      <c r="U55" s="23" t="s">
        <v>53</v>
      </c>
      <c r="V55" s="23" t="s">
        <v>336</v>
      </c>
      <c r="W55" s="23" t="s">
        <v>56</v>
      </c>
      <c r="X55" s="23"/>
      <c r="Y55" s="23" t="s">
        <v>328</v>
      </c>
      <c r="Z55" s="23">
        <v>0.010101</v>
      </c>
      <c r="AA55" s="23" t="s">
        <v>271</v>
      </c>
      <c r="AB55" s="23" t="s">
        <v>210</v>
      </c>
    </row>
    <row r="56" ht="15.75" customHeight="1">
      <c r="E56" s="47" t="s">
        <v>79</v>
      </c>
      <c r="F56" s="46" t="s">
        <v>334</v>
      </c>
      <c r="G56" s="47" t="s">
        <v>67</v>
      </c>
      <c r="H56" s="23" t="s">
        <v>80</v>
      </c>
      <c r="T56" s="23" t="s">
        <v>337</v>
      </c>
      <c r="U56" s="23" t="s">
        <v>91</v>
      </c>
      <c r="V56" s="23" t="s">
        <v>306</v>
      </c>
      <c r="W56" s="23" t="s">
        <v>109</v>
      </c>
      <c r="X56" s="23"/>
      <c r="Y56" s="23" t="s">
        <v>338</v>
      </c>
      <c r="Z56" s="23">
        <v>0.01</v>
      </c>
      <c r="AA56" s="23" t="s">
        <v>209</v>
      </c>
      <c r="AB56" s="23" t="s">
        <v>210</v>
      </c>
    </row>
    <row r="57" ht="15.75" customHeight="1">
      <c r="E57" s="48" t="s">
        <v>339</v>
      </c>
      <c r="F57" s="45" t="s">
        <v>334</v>
      </c>
      <c r="G57" s="48" t="s">
        <v>67</v>
      </c>
      <c r="H57" s="23" t="s">
        <v>76</v>
      </c>
      <c r="T57" s="23" t="s">
        <v>340</v>
      </c>
      <c r="U57" s="23" t="s">
        <v>91</v>
      </c>
      <c r="V57" s="23" t="s">
        <v>306</v>
      </c>
      <c r="W57" s="23" t="s">
        <v>109</v>
      </c>
      <c r="X57" s="23"/>
      <c r="Y57" s="23" t="s">
        <v>338</v>
      </c>
      <c r="Z57" s="23">
        <v>0.01</v>
      </c>
      <c r="AA57" s="23" t="s">
        <v>209</v>
      </c>
      <c r="AB57" s="23" t="s">
        <v>210</v>
      </c>
    </row>
    <row r="58" ht="15.75" customHeight="1">
      <c r="E58" s="47" t="s">
        <v>341</v>
      </c>
      <c r="F58" s="46" t="s">
        <v>342</v>
      </c>
      <c r="G58" s="47" t="s">
        <v>63</v>
      </c>
      <c r="H58" s="23" t="s">
        <v>80</v>
      </c>
      <c r="T58" s="23" t="s">
        <v>305</v>
      </c>
      <c r="U58" s="23" t="s">
        <v>91</v>
      </c>
      <c r="V58" s="23" t="s">
        <v>306</v>
      </c>
      <c r="W58" s="23" t="s">
        <v>98</v>
      </c>
      <c r="X58" s="23"/>
      <c r="Y58" s="23" t="s">
        <v>270</v>
      </c>
      <c r="Z58" s="23">
        <v>0.010417</v>
      </c>
      <c r="AA58" s="23" t="s">
        <v>271</v>
      </c>
      <c r="AB58" s="23" t="s">
        <v>210</v>
      </c>
    </row>
    <row r="59" ht="15.75" customHeight="1">
      <c r="E59" s="48" t="s">
        <v>343</v>
      </c>
      <c r="F59" s="45" t="s">
        <v>342</v>
      </c>
      <c r="G59" s="48" t="s">
        <v>63</v>
      </c>
      <c r="H59" s="23" t="s">
        <v>260</v>
      </c>
      <c r="T59" s="23" t="s">
        <v>310</v>
      </c>
      <c r="U59" s="23" t="s">
        <v>91</v>
      </c>
      <c r="V59" s="23" t="s">
        <v>306</v>
      </c>
      <c r="W59" s="23" t="s">
        <v>109</v>
      </c>
      <c r="X59" s="23"/>
      <c r="Y59" s="23" t="s">
        <v>338</v>
      </c>
      <c r="Z59" s="23">
        <v>0.01</v>
      </c>
      <c r="AA59" s="23" t="s">
        <v>209</v>
      </c>
      <c r="AB59" s="23" t="s">
        <v>210</v>
      </c>
    </row>
    <row r="60" ht="15.75" customHeight="1">
      <c r="E60" s="49" t="s">
        <v>344</v>
      </c>
      <c r="F60" s="50" t="s">
        <v>345</v>
      </c>
      <c r="G60" s="49" t="s">
        <v>63</v>
      </c>
      <c r="H60" s="23" t="s">
        <v>80</v>
      </c>
      <c r="T60" s="23" t="s">
        <v>108</v>
      </c>
      <c r="U60" s="23" t="s">
        <v>91</v>
      </c>
      <c r="V60" s="23" t="s">
        <v>306</v>
      </c>
      <c r="W60" s="23" t="s">
        <v>109</v>
      </c>
      <c r="X60" s="23"/>
      <c r="Y60" s="23" t="s">
        <v>338</v>
      </c>
      <c r="Z60" s="23">
        <v>0.01</v>
      </c>
      <c r="AA60" s="23" t="s">
        <v>209</v>
      </c>
      <c r="AB60" s="23" t="s">
        <v>210</v>
      </c>
    </row>
    <row r="61" ht="15.75" customHeight="1">
      <c r="T61" s="23" t="s">
        <v>346</v>
      </c>
      <c r="U61" s="23" t="s">
        <v>83</v>
      </c>
      <c r="V61" s="23" t="s">
        <v>347</v>
      </c>
      <c r="W61" s="23" t="s">
        <v>257</v>
      </c>
      <c r="X61" s="23"/>
      <c r="Y61" s="23" t="s">
        <v>258</v>
      </c>
      <c r="Z61" s="23">
        <v>0.016667</v>
      </c>
      <c r="AA61" s="23" t="s">
        <v>209</v>
      </c>
      <c r="AB61" s="23" t="s">
        <v>210</v>
      </c>
    </row>
    <row r="62" ht="15.75" customHeight="1">
      <c r="T62" s="23" t="s">
        <v>348</v>
      </c>
      <c r="U62" s="23" t="s">
        <v>83</v>
      </c>
      <c r="V62" s="23" t="s">
        <v>223</v>
      </c>
      <c r="W62" s="23" t="s">
        <v>85</v>
      </c>
      <c r="X62" s="23"/>
      <c r="Y62" s="23" t="s">
        <v>349</v>
      </c>
      <c r="Z62" s="23">
        <v>0.016667</v>
      </c>
      <c r="AA62" s="23" t="s">
        <v>209</v>
      </c>
      <c r="AB62" s="23" t="s">
        <v>210</v>
      </c>
    </row>
    <row r="63" ht="15.75" customHeight="1">
      <c r="T63" s="23" t="s">
        <v>84</v>
      </c>
      <c r="U63" s="23" t="s">
        <v>83</v>
      </c>
      <c r="V63" s="23" t="s">
        <v>223</v>
      </c>
      <c r="W63" s="23" t="s">
        <v>85</v>
      </c>
      <c r="X63" s="23"/>
      <c r="Y63" s="23" t="s">
        <v>349</v>
      </c>
      <c r="Z63" s="23">
        <v>0.016667</v>
      </c>
      <c r="AA63" s="23" t="s">
        <v>209</v>
      </c>
      <c r="AB63" s="23" t="s">
        <v>210</v>
      </c>
    </row>
    <row r="64" ht="15.75" customHeight="1">
      <c r="T64" s="23" t="s">
        <v>43</v>
      </c>
      <c r="U64" s="23" t="s">
        <v>42</v>
      </c>
      <c r="V64" s="23" t="s">
        <v>240</v>
      </c>
      <c r="W64" s="23" t="s">
        <v>44</v>
      </c>
      <c r="X64" s="23"/>
      <c r="Y64" s="23" t="s">
        <v>208</v>
      </c>
      <c r="Z64" s="23">
        <v>0.013334</v>
      </c>
      <c r="AA64" s="23" t="s">
        <v>209</v>
      </c>
      <c r="AB64" s="23" t="s">
        <v>210</v>
      </c>
    </row>
    <row r="65" ht="15.75" customHeight="1">
      <c r="T65" s="23" t="s">
        <v>243</v>
      </c>
      <c r="U65" s="23" t="s">
        <v>42</v>
      </c>
      <c r="V65" s="23" t="s">
        <v>240</v>
      </c>
      <c r="W65" s="23" t="s">
        <v>44</v>
      </c>
      <c r="X65" s="23"/>
      <c r="Y65" s="23" t="s">
        <v>208</v>
      </c>
      <c r="Z65" s="23">
        <v>0.013334</v>
      </c>
      <c r="AA65" s="23" t="s">
        <v>209</v>
      </c>
      <c r="AB65" s="23" t="s">
        <v>210</v>
      </c>
    </row>
    <row r="66" ht="15.75" customHeight="1">
      <c r="T66" s="23" t="s">
        <v>9</v>
      </c>
      <c r="U66" s="23" t="s">
        <v>8</v>
      </c>
      <c r="V66" s="23" t="s">
        <v>247</v>
      </c>
      <c r="W66" s="23" t="s">
        <v>11</v>
      </c>
      <c r="X66" s="23"/>
      <c r="Y66" s="23" t="s">
        <v>350</v>
      </c>
      <c r="Z66" s="23">
        <v>0.013334</v>
      </c>
      <c r="AA66" s="23" t="s">
        <v>209</v>
      </c>
      <c r="AB66" s="23" t="s">
        <v>210</v>
      </c>
    </row>
    <row r="67" ht="15.75" customHeight="1">
      <c r="T67" s="23" t="s">
        <v>16</v>
      </c>
      <c r="U67" s="23" t="s">
        <v>15</v>
      </c>
      <c r="V67" s="23" t="s">
        <v>315</v>
      </c>
      <c r="W67" s="23" t="s">
        <v>17</v>
      </c>
      <c r="X67" s="23"/>
      <c r="Y67" s="23" t="s">
        <v>351</v>
      </c>
      <c r="Z67" s="23">
        <v>0.0125</v>
      </c>
      <c r="AA67" s="23" t="s">
        <v>209</v>
      </c>
      <c r="AB67" s="23" t="s">
        <v>210</v>
      </c>
    </row>
    <row r="68" ht="15.75" customHeight="1">
      <c r="T68" s="23" t="s">
        <v>16</v>
      </c>
      <c r="U68" s="23" t="s">
        <v>15</v>
      </c>
      <c r="V68" s="23" t="s">
        <v>315</v>
      </c>
      <c r="W68" s="23" t="s">
        <v>352</v>
      </c>
      <c r="X68" s="23"/>
      <c r="Y68" s="23" t="s">
        <v>353</v>
      </c>
      <c r="Z68" s="23">
        <v>0.2</v>
      </c>
      <c r="AA68" s="23" t="s">
        <v>209</v>
      </c>
      <c r="AB68" s="23" t="s">
        <v>210</v>
      </c>
    </row>
    <row r="69" ht="15.75" customHeight="1">
      <c r="T69" s="23" t="s">
        <v>16</v>
      </c>
      <c r="U69" s="23" t="s">
        <v>15</v>
      </c>
      <c r="V69" s="23" t="s">
        <v>315</v>
      </c>
      <c r="W69" s="23" t="s">
        <v>354</v>
      </c>
      <c r="X69" s="23"/>
      <c r="Y69" s="23" t="s">
        <v>355</v>
      </c>
      <c r="Z69" s="23">
        <v>0.0125</v>
      </c>
      <c r="AA69" s="23" t="s">
        <v>209</v>
      </c>
      <c r="AB69" s="23" t="s">
        <v>210</v>
      </c>
    </row>
    <row r="70" ht="15.75" customHeight="1">
      <c r="T70" s="23" t="s">
        <v>356</v>
      </c>
      <c r="U70" s="23" t="s">
        <v>15</v>
      </c>
      <c r="V70" s="23" t="s">
        <v>315</v>
      </c>
      <c r="W70" s="23" t="s">
        <v>17</v>
      </c>
      <c r="X70" s="23"/>
      <c r="Y70" s="23" t="s">
        <v>351</v>
      </c>
      <c r="Z70" s="23">
        <v>0.0125</v>
      </c>
      <c r="AA70" s="23" t="s">
        <v>209</v>
      </c>
      <c r="AB70" s="23" t="s">
        <v>210</v>
      </c>
    </row>
    <row r="71" ht="15.75" customHeight="1">
      <c r="T71" s="23" t="s">
        <v>356</v>
      </c>
      <c r="U71" s="23" t="s">
        <v>15</v>
      </c>
      <c r="V71" s="23" t="s">
        <v>315</v>
      </c>
      <c r="W71" s="23" t="s">
        <v>352</v>
      </c>
      <c r="X71" s="23"/>
      <c r="Y71" s="23" t="s">
        <v>353</v>
      </c>
      <c r="Z71" s="23">
        <v>0.2</v>
      </c>
      <c r="AA71" s="23" t="s">
        <v>209</v>
      </c>
      <c r="AB71" s="23" t="s">
        <v>210</v>
      </c>
    </row>
    <row r="72" ht="15.75" customHeight="1">
      <c r="T72" s="23" t="s">
        <v>356</v>
      </c>
      <c r="U72" s="23" t="s">
        <v>15</v>
      </c>
      <c r="V72" s="23" t="s">
        <v>315</v>
      </c>
      <c r="W72" s="23" t="s">
        <v>354</v>
      </c>
      <c r="X72" s="23"/>
      <c r="Y72" s="23" t="s">
        <v>355</v>
      </c>
      <c r="Z72" s="23">
        <v>0.0125</v>
      </c>
      <c r="AA72" s="23" t="s">
        <v>209</v>
      </c>
      <c r="AB72" s="23" t="s">
        <v>210</v>
      </c>
    </row>
    <row r="73" ht="15.75" customHeight="1">
      <c r="T73" s="23" t="s">
        <v>357</v>
      </c>
      <c r="U73" s="23" t="s">
        <v>15</v>
      </c>
      <c r="V73" s="23" t="s">
        <v>358</v>
      </c>
      <c r="W73" s="23" t="s">
        <v>17</v>
      </c>
      <c r="X73" s="23"/>
      <c r="Y73" s="23" t="s">
        <v>351</v>
      </c>
      <c r="Z73" s="23">
        <v>0.0125</v>
      </c>
      <c r="AA73" s="23" t="s">
        <v>209</v>
      </c>
      <c r="AB73" s="23" t="s">
        <v>210</v>
      </c>
    </row>
    <row r="74" ht="15.75" customHeight="1">
      <c r="T74" s="23" t="s">
        <v>357</v>
      </c>
      <c r="U74" s="23" t="s">
        <v>15</v>
      </c>
      <c r="V74" s="23" t="s">
        <v>358</v>
      </c>
      <c r="W74" s="23" t="s">
        <v>359</v>
      </c>
      <c r="X74" s="23"/>
      <c r="Y74" s="23" t="s">
        <v>360</v>
      </c>
      <c r="Z74" s="23">
        <v>0.0125</v>
      </c>
      <c r="AA74" s="23" t="s">
        <v>209</v>
      </c>
      <c r="AB74" s="23" t="s">
        <v>210</v>
      </c>
    </row>
    <row r="75" ht="15.75" customHeight="1">
      <c r="T75" s="23" t="s">
        <v>361</v>
      </c>
      <c r="U75" s="23" t="s">
        <v>15</v>
      </c>
      <c r="V75" s="23" t="s">
        <v>358</v>
      </c>
      <c r="W75" s="23" t="s">
        <v>17</v>
      </c>
      <c r="X75" s="23"/>
      <c r="Y75" s="23" t="s">
        <v>351</v>
      </c>
      <c r="Z75" s="23">
        <v>0.0125</v>
      </c>
      <c r="AA75" s="23" t="s">
        <v>209</v>
      </c>
      <c r="AB75" s="23" t="s">
        <v>210</v>
      </c>
    </row>
    <row r="76" ht="15.75" customHeight="1">
      <c r="T76" s="23" t="s">
        <v>361</v>
      </c>
      <c r="U76" s="23" t="s">
        <v>15</v>
      </c>
      <c r="V76" s="23" t="s">
        <v>358</v>
      </c>
      <c r="W76" s="23" t="s">
        <v>359</v>
      </c>
      <c r="X76" s="23"/>
      <c r="Y76" s="23" t="s">
        <v>360</v>
      </c>
      <c r="Z76" s="23">
        <v>0.0125</v>
      </c>
      <c r="AA76" s="23" t="s">
        <v>209</v>
      </c>
      <c r="AB76" s="23" t="s">
        <v>210</v>
      </c>
    </row>
    <row r="77" ht="15.75" customHeight="1">
      <c r="T77" s="23" t="s">
        <v>362</v>
      </c>
      <c r="U77" s="23" t="s">
        <v>15</v>
      </c>
      <c r="V77" s="23" t="s">
        <v>363</v>
      </c>
      <c r="W77" s="23" t="s">
        <v>17</v>
      </c>
      <c r="X77" s="23"/>
      <c r="Y77" s="23" t="s">
        <v>351</v>
      </c>
      <c r="Z77" s="23">
        <v>0.0125</v>
      </c>
      <c r="AA77" s="23" t="s">
        <v>209</v>
      </c>
      <c r="AB77" s="23" t="s">
        <v>210</v>
      </c>
    </row>
    <row r="78" ht="15.75" customHeight="1">
      <c r="T78" s="23" t="s">
        <v>362</v>
      </c>
      <c r="U78" s="23" t="s">
        <v>15</v>
      </c>
      <c r="V78" s="23" t="s">
        <v>363</v>
      </c>
      <c r="W78" s="23" t="s">
        <v>359</v>
      </c>
      <c r="X78" s="23"/>
      <c r="Y78" s="23" t="s">
        <v>360</v>
      </c>
      <c r="Z78" s="23">
        <v>0.0125</v>
      </c>
      <c r="AA78" s="23" t="s">
        <v>209</v>
      </c>
      <c r="AB78" s="23" t="s">
        <v>210</v>
      </c>
    </row>
    <row r="79" ht="15.75" customHeight="1">
      <c r="T79" s="23" t="s">
        <v>364</v>
      </c>
      <c r="U79" s="23" t="s">
        <v>15</v>
      </c>
      <c r="V79" s="23" t="s">
        <v>363</v>
      </c>
      <c r="W79" s="23" t="s">
        <v>17</v>
      </c>
      <c r="X79" s="23"/>
      <c r="Y79" s="23" t="s">
        <v>351</v>
      </c>
      <c r="Z79" s="23">
        <v>0.0125</v>
      </c>
      <c r="AA79" s="23" t="s">
        <v>209</v>
      </c>
      <c r="AB79" s="23" t="s">
        <v>210</v>
      </c>
    </row>
    <row r="80" ht="15.75" customHeight="1">
      <c r="T80" s="23" t="s">
        <v>364</v>
      </c>
      <c r="U80" s="23" t="s">
        <v>15</v>
      </c>
      <c r="V80" s="23" t="s">
        <v>363</v>
      </c>
      <c r="W80" s="23" t="s">
        <v>359</v>
      </c>
      <c r="X80" s="23"/>
      <c r="Y80" s="23" t="s">
        <v>360</v>
      </c>
      <c r="Z80" s="23">
        <v>0.0125</v>
      </c>
      <c r="AA80" s="23" t="s">
        <v>209</v>
      </c>
      <c r="AB80" s="23" t="s">
        <v>210</v>
      </c>
    </row>
    <row r="81" ht="15.75" customHeight="1">
      <c r="T81" s="23" t="s">
        <v>317</v>
      </c>
      <c r="U81" s="23" t="s">
        <v>15</v>
      </c>
      <c r="V81" s="23" t="s">
        <v>318</v>
      </c>
      <c r="W81" s="23" t="s">
        <v>17</v>
      </c>
      <c r="X81" s="23"/>
      <c r="Y81" s="23" t="s">
        <v>351</v>
      </c>
      <c r="Z81" s="23">
        <v>0.0125</v>
      </c>
      <c r="AA81" s="23" t="s">
        <v>209</v>
      </c>
      <c r="AB81" s="23" t="s">
        <v>210</v>
      </c>
    </row>
    <row r="82" ht="15.75" customHeight="1">
      <c r="T82" s="23" t="s">
        <v>317</v>
      </c>
      <c r="U82" s="23" t="s">
        <v>15</v>
      </c>
      <c r="V82" s="23" t="s">
        <v>318</v>
      </c>
      <c r="W82" s="23" t="s">
        <v>352</v>
      </c>
      <c r="X82" s="23"/>
      <c r="Y82" s="23" t="s">
        <v>353</v>
      </c>
      <c r="Z82" s="23">
        <v>0.2</v>
      </c>
      <c r="AA82" s="23" t="s">
        <v>209</v>
      </c>
      <c r="AB82" s="23" t="s">
        <v>210</v>
      </c>
    </row>
    <row r="83" ht="15.75" customHeight="1">
      <c r="T83" s="23" t="s">
        <v>317</v>
      </c>
      <c r="U83" s="23" t="s">
        <v>15</v>
      </c>
      <c r="V83" s="23" t="s">
        <v>318</v>
      </c>
      <c r="W83" s="23" t="s">
        <v>359</v>
      </c>
      <c r="X83" s="23"/>
      <c r="Y83" s="23" t="s">
        <v>360</v>
      </c>
      <c r="Z83" s="23">
        <v>0.0125</v>
      </c>
      <c r="AA83" s="23" t="s">
        <v>209</v>
      </c>
      <c r="AB83" s="23" t="s">
        <v>210</v>
      </c>
    </row>
    <row r="84" ht="15.75" customHeight="1">
      <c r="T84" s="23" t="s">
        <v>365</v>
      </c>
      <c r="U84" s="23" t="s">
        <v>15</v>
      </c>
      <c r="V84" s="23" t="s">
        <v>318</v>
      </c>
      <c r="W84" s="23" t="s">
        <v>17</v>
      </c>
      <c r="X84" s="23"/>
      <c r="Y84" s="23" t="s">
        <v>351</v>
      </c>
      <c r="Z84" s="23">
        <v>0.0125</v>
      </c>
      <c r="AA84" s="23" t="s">
        <v>209</v>
      </c>
      <c r="AB84" s="23" t="s">
        <v>210</v>
      </c>
    </row>
    <row r="85" ht="15.75" customHeight="1">
      <c r="T85" s="23" t="s">
        <v>365</v>
      </c>
      <c r="U85" s="23" t="s">
        <v>15</v>
      </c>
      <c r="V85" s="23" t="s">
        <v>318</v>
      </c>
      <c r="W85" s="23" t="s">
        <v>359</v>
      </c>
      <c r="X85" s="23"/>
      <c r="Y85" s="23" t="s">
        <v>360</v>
      </c>
      <c r="Z85" s="23">
        <v>0.0125</v>
      </c>
      <c r="AA85" s="23" t="s">
        <v>209</v>
      </c>
      <c r="AB85" s="23" t="s">
        <v>210</v>
      </c>
    </row>
    <row r="86" ht="15.75" customHeight="1">
      <c r="T86" s="23" t="s">
        <v>320</v>
      </c>
      <c r="U86" s="23" t="s">
        <v>15</v>
      </c>
      <c r="V86" s="23" t="s">
        <v>321</v>
      </c>
      <c r="W86" s="23" t="s">
        <v>17</v>
      </c>
      <c r="X86" s="23"/>
      <c r="Y86" s="23" t="s">
        <v>351</v>
      </c>
      <c r="Z86" s="23">
        <v>0.0125</v>
      </c>
      <c r="AA86" s="23" t="s">
        <v>209</v>
      </c>
      <c r="AB86" s="23" t="s">
        <v>210</v>
      </c>
    </row>
    <row r="87" ht="15.75" customHeight="1">
      <c r="T87" s="23" t="s">
        <v>320</v>
      </c>
      <c r="U87" s="23" t="s">
        <v>15</v>
      </c>
      <c r="V87" s="23" t="s">
        <v>321</v>
      </c>
      <c r="W87" s="23" t="s">
        <v>352</v>
      </c>
      <c r="X87" s="23"/>
      <c r="Y87" s="23" t="s">
        <v>353</v>
      </c>
      <c r="Z87" s="23">
        <v>0.2</v>
      </c>
      <c r="AA87" s="23" t="s">
        <v>209</v>
      </c>
      <c r="AB87" s="23" t="s">
        <v>210</v>
      </c>
    </row>
    <row r="88" ht="15.75" customHeight="1">
      <c r="T88" s="23" t="s">
        <v>320</v>
      </c>
      <c r="U88" s="23" t="s">
        <v>15</v>
      </c>
      <c r="V88" s="23" t="s">
        <v>321</v>
      </c>
      <c r="W88" s="23" t="s">
        <v>354</v>
      </c>
      <c r="X88" s="23"/>
      <c r="Y88" s="23" t="s">
        <v>355</v>
      </c>
      <c r="Z88" s="23">
        <v>0.0125</v>
      </c>
      <c r="AA88" s="23" t="s">
        <v>209</v>
      </c>
      <c r="AB88" s="23" t="s">
        <v>210</v>
      </c>
    </row>
    <row r="89" ht="15.75" customHeight="1">
      <c r="T89" s="23" t="s">
        <v>366</v>
      </c>
      <c r="U89" s="23" t="s">
        <v>15</v>
      </c>
      <c r="V89" s="23" t="s">
        <v>321</v>
      </c>
      <c r="W89" s="23" t="s">
        <v>17</v>
      </c>
      <c r="X89" s="23"/>
      <c r="Y89" s="23" t="s">
        <v>351</v>
      </c>
      <c r="Z89" s="23">
        <v>0.0125</v>
      </c>
      <c r="AA89" s="23" t="s">
        <v>209</v>
      </c>
      <c r="AB89" s="23" t="s">
        <v>210</v>
      </c>
    </row>
    <row r="90" ht="15.75" customHeight="1">
      <c r="T90" s="23" t="s">
        <v>366</v>
      </c>
      <c r="U90" s="23" t="s">
        <v>15</v>
      </c>
      <c r="V90" s="23" t="s">
        <v>321</v>
      </c>
      <c r="W90" s="23" t="s">
        <v>352</v>
      </c>
      <c r="X90" s="23"/>
      <c r="Y90" s="23" t="s">
        <v>353</v>
      </c>
      <c r="Z90" s="23">
        <v>0.2</v>
      </c>
      <c r="AA90" s="23" t="s">
        <v>209</v>
      </c>
      <c r="AB90" s="23" t="s">
        <v>210</v>
      </c>
    </row>
    <row r="91" ht="15.75" customHeight="1">
      <c r="T91" s="23" t="s">
        <v>366</v>
      </c>
      <c r="U91" s="23" t="s">
        <v>15</v>
      </c>
      <c r="V91" s="23" t="s">
        <v>321</v>
      </c>
      <c r="W91" s="23" t="s">
        <v>354</v>
      </c>
      <c r="X91" s="23"/>
      <c r="Y91" s="23" t="s">
        <v>355</v>
      </c>
      <c r="Z91" s="23">
        <v>0.0125</v>
      </c>
      <c r="AA91" s="23" t="s">
        <v>209</v>
      </c>
      <c r="AB91" s="23" t="s">
        <v>210</v>
      </c>
    </row>
    <row r="92" ht="15.75" customHeight="1">
      <c r="T92" s="23" t="s">
        <v>367</v>
      </c>
      <c r="U92" s="23" t="s">
        <v>83</v>
      </c>
      <c r="V92" s="23" t="s">
        <v>230</v>
      </c>
      <c r="W92" s="23" t="s">
        <v>85</v>
      </c>
      <c r="X92" s="23"/>
      <c r="Y92" s="23" t="s">
        <v>349</v>
      </c>
      <c r="Z92" s="23">
        <v>0.016667</v>
      </c>
      <c r="AA92" s="23" t="s">
        <v>209</v>
      </c>
      <c r="AB92" s="23" t="s">
        <v>210</v>
      </c>
    </row>
    <row r="93" ht="15.75" customHeight="1">
      <c r="T93" s="23" t="s">
        <v>73</v>
      </c>
      <c r="U93" s="23" t="s">
        <v>67</v>
      </c>
      <c r="V93" s="23" t="s">
        <v>298</v>
      </c>
      <c r="W93" s="23" t="s">
        <v>74</v>
      </c>
      <c r="X93" s="23"/>
      <c r="Y93" s="23" t="s">
        <v>368</v>
      </c>
      <c r="Z93" s="23">
        <v>0.0125</v>
      </c>
      <c r="AA93" s="23" t="s">
        <v>209</v>
      </c>
      <c r="AB93" s="23" t="s">
        <v>210</v>
      </c>
    </row>
    <row r="94" ht="15.75" customHeight="1">
      <c r="T94" s="23" t="s">
        <v>27</v>
      </c>
      <c r="U94" s="23" t="s">
        <v>21</v>
      </c>
      <c r="V94" s="23" t="s">
        <v>279</v>
      </c>
      <c r="W94" s="23" t="s">
        <v>369</v>
      </c>
      <c r="X94" s="23"/>
      <c r="Y94" s="23" t="s">
        <v>370</v>
      </c>
      <c r="Z94" s="23">
        <v>0.0</v>
      </c>
      <c r="AA94" s="23" t="s">
        <v>209</v>
      </c>
      <c r="AB94" s="23" t="s">
        <v>210</v>
      </c>
    </row>
    <row r="95" ht="15.75" customHeight="1">
      <c r="T95" s="23" t="s">
        <v>25</v>
      </c>
      <c r="U95" s="23" t="s">
        <v>21</v>
      </c>
      <c r="V95" s="23" t="s">
        <v>273</v>
      </c>
      <c r="W95" s="23" t="s">
        <v>26</v>
      </c>
      <c r="X95" s="23"/>
      <c r="Y95" s="23" t="s">
        <v>370</v>
      </c>
      <c r="Z95" s="23">
        <v>0.015625</v>
      </c>
      <c r="AA95" s="23" t="s">
        <v>209</v>
      </c>
      <c r="AB95" s="23" t="s">
        <v>210</v>
      </c>
    </row>
    <row r="96" ht="15.75" customHeight="1">
      <c r="T96" s="23" t="s">
        <v>371</v>
      </c>
      <c r="U96" s="23" t="s">
        <v>57</v>
      </c>
      <c r="V96" s="23" t="s">
        <v>300</v>
      </c>
      <c r="W96" s="23" t="s">
        <v>62</v>
      </c>
      <c r="X96" s="23"/>
      <c r="Y96" s="23" t="s">
        <v>372</v>
      </c>
      <c r="Z96" s="23">
        <v>0.0125</v>
      </c>
      <c r="AA96" s="23" t="s">
        <v>209</v>
      </c>
      <c r="AB96" s="23" t="s">
        <v>210</v>
      </c>
    </row>
    <row r="97" ht="15.75" customHeight="1">
      <c r="T97" s="23" t="s">
        <v>373</v>
      </c>
      <c r="U97" s="23" t="s">
        <v>57</v>
      </c>
      <c r="V97" s="23" t="s">
        <v>300</v>
      </c>
      <c r="W97" s="23" t="s">
        <v>62</v>
      </c>
      <c r="X97" s="23"/>
      <c r="Y97" s="23" t="s">
        <v>372</v>
      </c>
      <c r="Z97" s="23">
        <v>0.0125</v>
      </c>
      <c r="AA97" s="23" t="s">
        <v>209</v>
      </c>
      <c r="AB97" s="23" t="s">
        <v>210</v>
      </c>
    </row>
    <row r="98" ht="15.75" customHeight="1">
      <c r="T98" s="23" t="s">
        <v>295</v>
      </c>
      <c r="U98" s="23" t="s">
        <v>8</v>
      </c>
      <c r="V98" s="23" t="s">
        <v>296</v>
      </c>
      <c r="W98" s="23" t="s">
        <v>32</v>
      </c>
      <c r="X98" s="23"/>
      <c r="Y98" s="23" t="s">
        <v>246</v>
      </c>
      <c r="Z98" s="23">
        <v>0.015625</v>
      </c>
      <c r="AA98" s="23" t="s">
        <v>209</v>
      </c>
      <c r="AB98" s="23" t="s">
        <v>210</v>
      </c>
    </row>
    <row r="99" ht="15.75" customHeight="1">
      <c r="T99" s="23" t="s">
        <v>374</v>
      </c>
      <c r="U99" s="23" t="s">
        <v>67</v>
      </c>
      <c r="V99" s="23" t="s">
        <v>334</v>
      </c>
      <c r="W99" s="23" t="s">
        <v>76</v>
      </c>
      <c r="X99" s="23"/>
      <c r="Y99" s="23" t="s">
        <v>299</v>
      </c>
      <c r="Z99" s="23">
        <v>0.0125</v>
      </c>
      <c r="AA99" s="23" t="s">
        <v>209</v>
      </c>
      <c r="AB99" s="23" t="s">
        <v>210</v>
      </c>
    </row>
    <row r="100" ht="15.75" customHeight="1">
      <c r="T100" s="23" t="s">
        <v>333</v>
      </c>
      <c r="U100" s="23" t="s">
        <v>67</v>
      </c>
      <c r="V100" s="23" t="s">
        <v>334</v>
      </c>
      <c r="W100" s="23" t="s">
        <v>76</v>
      </c>
      <c r="X100" s="23"/>
      <c r="Y100" s="23" t="s">
        <v>299</v>
      </c>
      <c r="Z100" s="23">
        <v>0.0125</v>
      </c>
      <c r="AA100" s="23" t="s">
        <v>209</v>
      </c>
      <c r="AB100" s="23" t="s">
        <v>210</v>
      </c>
    </row>
    <row r="101" ht="15.75" customHeight="1">
      <c r="T101" s="23" t="s">
        <v>79</v>
      </c>
      <c r="U101" s="23" t="s">
        <v>67</v>
      </c>
      <c r="V101" s="23" t="s">
        <v>334</v>
      </c>
      <c r="W101" s="23" t="s">
        <v>80</v>
      </c>
      <c r="X101" s="23"/>
      <c r="Y101" s="23" t="s">
        <v>375</v>
      </c>
      <c r="Z101" s="23">
        <v>0.0125</v>
      </c>
      <c r="AA101" s="23" t="s">
        <v>209</v>
      </c>
      <c r="AB101" s="23" t="s">
        <v>210</v>
      </c>
    </row>
    <row r="102" ht="15.75" customHeight="1">
      <c r="T102" s="23" t="s">
        <v>339</v>
      </c>
      <c r="U102" s="23" t="s">
        <v>67</v>
      </c>
      <c r="V102" s="23" t="s">
        <v>334</v>
      </c>
      <c r="W102" s="23" t="s">
        <v>76</v>
      </c>
      <c r="X102" s="23"/>
      <c r="Y102" s="23" t="s">
        <v>299</v>
      </c>
      <c r="Z102" s="23">
        <v>0.0125</v>
      </c>
      <c r="AA102" s="23" t="s">
        <v>209</v>
      </c>
      <c r="AB102" s="23" t="s">
        <v>210</v>
      </c>
    </row>
    <row r="103" ht="15.75" customHeight="1">
      <c r="T103" s="23" t="s">
        <v>376</v>
      </c>
      <c r="U103" s="23" t="s">
        <v>91</v>
      </c>
      <c r="V103" s="23" t="s">
        <v>291</v>
      </c>
      <c r="W103" s="23" t="s">
        <v>109</v>
      </c>
      <c r="X103" s="23"/>
      <c r="Y103" s="23" t="s">
        <v>338</v>
      </c>
      <c r="Z103" s="23">
        <v>0.01</v>
      </c>
      <c r="AA103" s="23" t="s">
        <v>209</v>
      </c>
      <c r="AB103" s="23" t="s">
        <v>210</v>
      </c>
    </row>
    <row r="104" ht="15.75" customHeight="1">
      <c r="T104" s="23" t="s">
        <v>377</v>
      </c>
      <c r="U104" s="23" t="s">
        <v>57</v>
      </c>
      <c r="V104" s="23" t="s">
        <v>300</v>
      </c>
      <c r="W104" s="23" t="s">
        <v>62</v>
      </c>
      <c r="X104" s="23"/>
      <c r="Y104" s="23" t="s">
        <v>372</v>
      </c>
      <c r="Z104" s="23">
        <v>0.0125</v>
      </c>
      <c r="AA104" s="23" t="s">
        <v>209</v>
      </c>
      <c r="AB104" s="23" t="s">
        <v>210</v>
      </c>
    </row>
    <row r="105" ht="15.75" customHeight="1">
      <c r="T105" s="23" t="s">
        <v>61</v>
      </c>
      <c r="U105" s="23" t="s">
        <v>57</v>
      </c>
      <c r="V105" s="23" t="s">
        <v>300</v>
      </c>
      <c r="W105" s="23" t="s">
        <v>62</v>
      </c>
      <c r="X105" s="23"/>
      <c r="Y105" s="23" t="s">
        <v>372</v>
      </c>
      <c r="Z105" s="23">
        <v>0.0125</v>
      </c>
      <c r="AA105" s="23" t="s">
        <v>209</v>
      </c>
      <c r="AB105" s="23" t="s">
        <v>210</v>
      </c>
    </row>
    <row r="106" ht="15.75" customHeight="1">
      <c r="T106" s="23" t="s">
        <v>75</v>
      </c>
      <c r="U106" s="23" t="s">
        <v>67</v>
      </c>
      <c r="V106" s="23" t="s">
        <v>323</v>
      </c>
      <c r="W106" s="23" t="s">
        <v>76</v>
      </c>
      <c r="X106" s="23"/>
      <c r="Y106" s="23" t="s">
        <v>299</v>
      </c>
      <c r="Z106" s="23">
        <v>0.0125</v>
      </c>
      <c r="AA106" s="23" t="s">
        <v>209</v>
      </c>
      <c r="AB106" s="23" t="s">
        <v>210</v>
      </c>
    </row>
    <row r="107" ht="15.75" customHeight="1">
      <c r="T107" s="23" t="s">
        <v>344</v>
      </c>
      <c r="U107" s="23" t="s">
        <v>63</v>
      </c>
      <c r="V107" s="23" t="s">
        <v>345</v>
      </c>
      <c r="W107" s="23" t="s">
        <v>80</v>
      </c>
      <c r="X107" s="23"/>
      <c r="Y107" s="23" t="s">
        <v>375</v>
      </c>
      <c r="Z107" s="23">
        <v>0.0125</v>
      </c>
      <c r="AA107" s="23" t="s">
        <v>209</v>
      </c>
      <c r="AB107" s="23" t="s">
        <v>210</v>
      </c>
    </row>
    <row r="108" ht="15.75" customHeight="1">
      <c r="T108" s="23" t="s">
        <v>341</v>
      </c>
      <c r="U108" s="23" t="s">
        <v>63</v>
      </c>
      <c r="V108" s="23" t="s">
        <v>342</v>
      </c>
      <c r="W108" s="23" t="s">
        <v>80</v>
      </c>
      <c r="X108" s="23"/>
      <c r="Y108" s="23" t="s">
        <v>375</v>
      </c>
      <c r="Z108" s="23">
        <v>0.0125</v>
      </c>
      <c r="AA108" s="23" t="s">
        <v>209</v>
      </c>
      <c r="AB108" s="23" t="s">
        <v>210</v>
      </c>
    </row>
    <row r="109" ht="15.75" customHeight="1">
      <c r="T109" s="23" t="s">
        <v>281</v>
      </c>
      <c r="U109" s="23" t="s">
        <v>21</v>
      </c>
      <c r="V109" s="23" t="s">
        <v>282</v>
      </c>
      <c r="W109" s="23" t="s">
        <v>369</v>
      </c>
      <c r="X109" s="23"/>
      <c r="Y109" s="23" t="s">
        <v>370</v>
      </c>
      <c r="Z109" s="23">
        <v>0.0</v>
      </c>
      <c r="AA109" s="23" t="s">
        <v>209</v>
      </c>
      <c r="AB109" s="23" t="s">
        <v>210</v>
      </c>
    </row>
    <row r="110" ht="15.75" customHeight="1">
      <c r="T110" s="23" t="s">
        <v>378</v>
      </c>
      <c r="U110" s="23" t="s">
        <v>21</v>
      </c>
      <c r="V110" s="23" t="s">
        <v>379</v>
      </c>
      <c r="W110" s="23" t="s">
        <v>380</v>
      </c>
      <c r="X110" s="23"/>
      <c r="Y110" s="23" t="s">
        <v>381</v>
      </c>
      <c r="Z110" s="23">
        <v>0.0125</v>
      </c>
      <c r="AA110" s="23" t="s">
        <v>209</v>
      </c>
      <c r="AB110" s="23" t="s">
        <v>210</v>
      </c>
    </row>
    <row r="111" ht="15.75" customHeight="1">
      <c r="T111" s="23" t="s">
        <v>382</v>
      </c>
      <c r="U111" s="23" t="s">
        <v>91</v>
      </c>
      <c r="V111" s="23" t="s">
        <v>291</v>
      </c>
      <c r="W111" s="23" t="s">
        <v>109</v>
      </c>
      <c r="X111" s="23"/>
      <c r="Y111" s="23" t="s">
        <v>338</v>
      </c>
      <c r="Z111" s="23">
        <v>0.01</v>
      </c>
      <c r="AA111" s="23" t="s">
        <v>209</v>
      </c>
      <c r="AB111" s="23" t="s">
        <v>210</v>
      </c>
    </row>
    <row r="112" ht="15.75" customHeight="1">
      <c r="T112" s="23" t="s">
        <v>383</v>
      </c>
      <c r="U112" s="23" t="s">
        <v>63</v>
      </c>
      <c r="V112" s="23" t="s">
        <v>342</v>
      </c>
      <c r="W112" s="23" t="s">
        <v>80</v>
      </c>
      <c r="X112" s="23"/>
      <c r="Y112" s="23" t="s">
        <v>375</v>
      </c>
      <c r="Z112" s="23">
        <v>0.0125</v>
      </c>
      <c r="AA112" s="23" t="s">
        <v>209</v>
      </c>
      <c r="AB112" s="23" t="s">
        <v>210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J$2:$L$28">
    <sortState ref="J2:L28">
      <sortCondition ref="J2:J28"/>
    </sortState>
  </autoFilter>
  <conditionalFormatting sqref="T2:AB112">
    <cfRule type="expression" dxfId="0" priority="1">
      <formula>ISEVEN($K2)</formula>
    </cfRule>
  </conditionalFormatting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2025-09-01T11:32:06Z</dcterms:created>
  <dc:creator>Kornel Malig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0x010100983F096D22BEFE43A1B9A90AF4E7E408</vt:lpwstr>
  </property>
  <property fmtid="{D5CDD505-2E9C-101B-9397-08002B2CF9AE}" pid="3" name="MediaServiceImageTags">
    <vt:lpwstr/>
  </property>
</Properties>
</file>